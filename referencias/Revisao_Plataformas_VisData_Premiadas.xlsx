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gabrielfortes/Downloads/"/>
    </mc:Choice>
  </mc:AlternateContent>
  <xr:revisionPtr revIDLastSave="0" documentId="13_ncr:1_{DA0010EE-6B14-FD4A-B997-54A2AE3FEF9B}" xr6:coauthVersionLast="47" xr6:coauthVersionMax="47" xr10:uidLastSave="{00000000-0000-0000-0000-000000000000}"/>
  <bookViews>
    <workbookView xWindow="0" yWindow="740" windowWidth="25060" windowHeight="17280" tabRatio="500" activeTab="3" xr2:uid="{00000000-000D-0000-FFFF-FFFF00000000}"/>
  </bookViews>
  <sheets>
    <sheet name="1. Sumário" sheetId="1" r:id="rId1"/>
    <sheet name="2. Prêmios" sheetId="2" r:id="rId2"/>
    <sheet name="3. Critérios" sheetId="3" r:id="rId3"/>
    <sheet name="4. Projetos" sheetId="4" r:id="rId4"/>
    <sheet name="5. Features" sheetId="5" r:id="rId5"/>
    <sheet name="6. Stack" sheetId="6" r:id="rId6"/>
    <sheet name="7. Diferenciais" sheetId="7" r:id="rId7"/>
    <sheet name="8. Acessibilidade" sheetId="8" r:id="rId8"/>
    <sheet name="9. Lições p Educação" sheetId="9" r:id="rId9"/>
    <sheet name="10. Referências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35" i="5" l="1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</calcChain>
</file>

<file path=xl/sharedStrings.xml><?xml version="1.0" encoding="utf-8"?>
<sst xmlns="http://schemas.openxmlformats.org/spreadsheetml/2006/main" count="1475" uniqueCount="691">
  <si>
    <t>Revisão de Plataformas e Soluções Digitais Premiadas em Visualização de Dados</t>
  </si>
  <si>
    <t>Objetivo</t>
  </si>
  <si>
    <t>Mapear plataformas digitais e projetos premiados em visualização de dados para identificar features, características diferenciais e elementos de design que podem informar o desenvolvimento de soluções voltadas à comunicação de desigualdade educacional em plataformas digitais.</t>
  </si>
  <si>
    <t>Estrutura da planilha</t>
  </si>
  <si>
    <t>Aba</t>
  </si>
  <si>
    <t>Conteúdo</t>
  </si>
  <si>
    <t>1. Sumário</t>
  </si>
  <si>
    <t>Objetivo, estrutura e instruções de uso.</t>
  </si>
  <si>
    <t>2. Prêmios e Concursos</t>
  </si>
  <si>
    <t>Comparativo dos prêmios fonte (Cláudio Weber Abramo, Sigma Awards, PacificVis VisStory) — escopo, critérios, periodicidade.</t>
  </si>
  <si>
    <t>3. Critérios de Avaliação</t>
  </si>
  <si>
    <t>Critérios usados pelos júris dos prêmios — útil como rubrica para avaliação interna de projetos.</t>
  </si>
  <si>
    <t>4. Projetos Premiados</t>
  </si>
  <si>
    <t>Catálogo de projetos premiados/finalistas com URL, organização, ano, tema, formato e justificativa do júri.</t>
  </si>
  <si>
    <t>5. Features e Funcionalidades</t>
  </si>
  <si>
    <t>Matriz de features (scrollytelling, mapas interativos, 3D, IA, multilíngue, etc.) marcando presença em cada projeto.</t>
  </si>
  <si>
    <t>6. Stack Tecnológica</t>
  </si>
  <si>
    <t>Bibliotecas, frameworks e ferramentas técnicas usadas (D3.js, MapLibre, Python, Observable, etc.).</t>
  </si>
  <si>
    <t>7. Diferenciais Estratégicos</t>
  </si>
  <si>
    <t>Padrões e diferenciais qualitativos que se repetem em projetos premiados.</t>
  </si>
  <si>
    <t>8. Acessibilidade e Equidade</t>
  </si>
  <si>
    <t>Critérios de acessibilidade, multilinguismo, mobile-first e considerações de inclusão — base para o próximo passo (desigualdade educacional).</t>
  </si>
  <si>
    <t>9. Lições para Educação</t>
  </si>
  <si>
    <t>Síntese provocativa: o que as plataformas premiadas ensinam para um produto de visualização de dados sobre desigualdade educacional.</t>
  </si>
  <si>
    <t>10. Referências</t>
  </si>
  <si>
    <t>Links das fontes e bibliografia complementar.</t>
  </si>
  <si>
    <t>Como usar</t>
  </si>
  <si>
    <t>1) Comece pela aba "2. Prêmios" para entender o universo de fontes. 2) Use a aba "3. Critérios" como checklist quando avaliar/conceber um projeto. 3) A aba "4. Projetos" é o catálogo de referência — clique nos URLs para abrir. 4) As abas "5. Features" e "6. Stack" servem para decisões de produto e tecnologia. 5) As abas "7", "8" e "9" condensam padrões qualitativos e direcionam o briefing acadêmico sobre desigualdade educacional.</t>
  </si>
  <si>
    <t>Data de elaboração</t>
  </si>
  <si>
    <t>06/05/2026</t>
  </si>
  <si>
    <t>Comparativo de Prêmios de Visualização de Dados</t>
  </si>
  <si>
    <t>Prêmio</t>
  </si>
  <si>
    <t>Organizador</t>
  </si>
  <si>
    <t>País / Escopo</t>
  </si>
  <si>
    <t>Foco</t>
  </si>
  <si>
    <t>Categorias</t>
  </si>
  <si>
    <t>Critérios-chave</t>
  </si>
  <si>
    <t>Edições / Periodicidade</t>
  </si>
  <si>
    <t>URL</t>
  </si>
  <si>
    <t>Prêmio Cláudio Weber Abramo de Jornalismo de Dados</t>
  </si>
  <si>
    <t>Escola de Dados (Open Knowledge Brasil), Abraji, Transparência Brasil</t>
  </si>
  <si>
    <t>Brasil</t>
  </si>
  <si>
    <t>Jornalismo de dados brasileiro com impacto social e democrático</t>
  </si>
  <si>
    <t>Visualização; Dados Abertos; Investigação; Inovação e Experimentação</t>
  </si>
  <si>
    <t>Comunicação visual; usabilidade; uso da LAI; transparência; impacto social; experimentação metodológica</t>
  </si>
  <si>
    <t>Anual desde 2019 (7ª edição em 2025)</t>
  </si>
  <si>
    <t>https://premio.jornalismodedados.org.br</t>
  </si>
  <si>
    <t>Sigma Awards</t>
  </si>
  <si>
    <t>Global Investigative Journalism Network (GIJN) — desde 2025; antes Google News Initiative</t>
  </si>
  <si>
    <t>Internacional (84 países concorreram em 2026)</t>
  </si>
  <si>
    <t>Jornalismo de dados global, sem categorias temáticas para encorajar inovação</t>
  </si>
  <si>
    <t>Sem categorias fixas — projetos individuais e portfólios</t>
  </si>
  <si>
    <t>Novidade; rigor metodológico; storytelling; uso de técnicas avançadas (ML, 3D, NLP); replicabilidade; impacto público</t>
  </si>
  <si>
    <t>Anual desde 2020</t>
  </si>
  <si>
    <t>https://www.sigmaawards.org</t>
  </si>
  <si>
    <t>PacificVis Visual Data Storytelling Contest (VisStory)</t>
  </si>
  <si>
    <t>IEEE PacificVis (comunidade acadêmica de visualização)</t>
  </si>
  <si>
    <t>Internacional, vínculo acadêmico (IEEE)</t>
  </si>
  <si>
    <t>Storytelling visual de dados — narrativa, não apenas dashboard analítico</t>
  </si>
  <si>
    <t>Imagens/Infográficos/Data Comics; Vídeos; Notebooks/Artigos Interativos; Sites; Imersivo/AR; Formatos Não-Convencionais</t>
  </si>
  <si>
    <t>É novidade? É original? É confiável e funcional? É envolvente e bonito? É informativo? Atende aos requisitos?</t>
  </si>
  <si>
    <t>Anual desde 2017 (10º ano em 2026)</t>
  </si>
  <si>
    <t>https://visstory.github.io</t>
  </si>
  <si>
    <t>Information is Beautiful Awards</t>
  </si>
  <si>
    <t>David McCandless / Information is Beautiful</t>
  </si>
  <si>
    <t>Internacional</t>
  </si>
  <si>
    <t>Excelência em visualização e comunicação de dados (jornalismo, ciência, arte, dados sociais)</t>
  </si>
  <si>
    <t>Múltiplas (Data Journalism, Science &amp; Technology, People/Demographics, Arts/Music, Humanitarian, Most Beautiful, etc.)</t>
  </si>
  <si>
    <t>Conceito; design; storytelling; execução; impacto</t>
  </si>
  <si>
    <t>Anual</t>
  </si>
  <si>
    <t>https://www.informationisbeautifulawards.com</t>
  </si>
  <si>
    <t>Malofiej Awards (Society for News Design)</t>
  </si>
  <si>
    <t>Universidad de Navarra (Espanha) + SND-E</t>
  </si>
  <si>
    <t>Internacional, foco em infografia jornalística</t>
  </si>
  <si>
    <t>Infografia e visualização editorial impressa e digital</t>
  </si>
  <si>
    <t>Online (interativos, mapas, gráficos), Impresso, Portfólio</t>
  </si>
  <si>
    <t>Excelência editorial; precisão; design; inovação visual</t>
  </si>
  <si>
    <t>Anual desde 1993</t>
  </si>
  <si>
    <t>https://www.malofiejgraphics.com</t>
  </si>
  <si>
    <t>Kantar Information is Beautiful — Student Awards / Other student programs</t>
  </si>
  <si>
    <t>Kantar / Information is Beautiful</t>
  </si>
  <si>
    <t>Internacional, estudantes</t>
  </si>
  <si>
    <t>Trabalhos estudantis em visualização</t>
  </si>
  <si>
    <t>Variável por edição</t>
  </si>
  <si>
    <t>Originalidade; conceito; clareza; execução</t>
  </si>
  <si>
    <t>Critérios de Avaliação dos Júris (rubrica consolidada)</t>
  </si>
  <si>
    <t>Use como checklist ao conceber, refinar ou avaliar um projeto de visualização de dados.</t>
  </si>
  <si>
    <t>Dimensão</t>
  </si>
  <si>
    <t>Critério</t>
  </si>
  <si>
    <t>Descrição</t>
  </si>
  <si>
    <t>Origem (prêmio)</t>
  </si>
  <si>
    <t>Perguntas-guia</t>
  </si>
  <si>
    <t>Narrativa</t>
  </si>
  <si>
    <t>Mensagem clara</t>
  </si>
  <si>
    <t>A história deve transmitir uma mensagem ou série de insights de modo autossuficiente — o leitor não deve precisar do abstract para entender.</t>
  </si>
  <si>
    <t>PacificVis VisStory</t>
  </si>
  <si>
    <t>Qual é a frase única que resume a história? Ela aparece visualmente na peça?</t>
  </si>
  <si>
    <t>Engajamento e estética</t>
  </si>
  <si>
    <t>Stories must be engaging and beautiful — equilíbrio entre rigor e prazer estético.</t>
  </si>
  <si>
    <t>O leitor sente vontade de continuar rolando? O design tem identidade própria?</t>
  </si>
  <si>
    <t>Storytelling vs. Dashboard</t>
  </si>
  <si>
    <t>Ferramentas puramente analíticas/exploratórias sem guia narrativo são desclassificadas.</t>
  </si>
  <si>
    <t>Há uma curadoria do percurso ou só um painel de filtros?</t>
  </si>
  <si>
    <t>Rigor</t>
  </si>
  <si>
    <t>Confiabilidade</t>
  </si>
  <si>
    <t>A história precisa ser confiável e funcional — métodos auditáveis, fontes citadas, dataset público.</t>
  </si>
  <si>
    <t>Sigma / VisStory</t>
  </si>
  <si>
    <t>A metodologia está documentada? Os dados são públicos e linkados?</t>
  </si>
  <si>
    <t>Originalidade</t>
  </si>
  <si>
    <t>Trabalho original, não publicado anteriormente.</t>
  </si>
  <si>
    <t>Há contribuição genuína de análise ou apenas reaproveitamento?</t>
  </si>
  <si>
    <t>Replicabilidade</t>
  </si>
  <si>
    <t>Métodos descritos de modo que possam ser aplicados em outros países/contextos.</t>
  </si>
  <si>
    <t>Outro veículo poderia replicar a investigação em sua jurisdição?</t>
  </si>
  <si>
    <t>Técnica</t>
  </si>
  <si>
    <t>Uso avançado de dados</t>
  </si>
  <si>
    <t>ML, NLP, 3D, scrapers, scrollytelling — técnica deve servir à história, não o contrário.</t>
  </si>
  <si>
    <t>A técnica resolve um problema real ou é decoração?</t>
  </si>
  <si>
    <t>Open source / código aberto</t>
  </si>
  <si>
    <t>Publicação de código e metodologia é diferencial valorizado.</t>
  </si>
  <si>
    <t>Cláudio Weber Abramo (Dados Abertos)</t>
  </si>
  <si>
    <t>O código está em repositório público? A metodologia foi publicada?</t>
  </si>
  <si>
    <t>Impacto</t>
  </si>
  <si>
    <t>Interesse público</t>
  </si>
  <si>
    <t>Trabalho ilumina temas de interesse coletivo — saúde, segurança, meio ambiente, direitos.</t>
  </si>
  <si>
    <t>Cláudio Weber Abramo / Sigma</t>
  </si>
  <si>
    <t>Quem se beneficia do conhecimento gerado? Houve mudança de política ou debate público?</t>
  </si>
  <si>
    <t>Impacto social mensurável</t>
  </si>
  <si>
    <t>Mudança de política, repercussão, alcance, accountability.</t>
  </si>
  <si>
    <t>O projeto gerou consequências verificáveis?</t>
  </si>
  <si>
    <t>UX / Design</t>
  </si>
  <si>
    <t>Usabilidade</t>
  </si>
  <si>
    <t>Boas práticas de design de informação e usabilidade — categoria explícita do CWA.</t>
  </si>
  <si>
    <t>Cláudio Weber Abramo (Visualização)</t>
  </si>
  <si>
    <t>O usuário consegue navegar sem instruções externas?</t>
  </si>
  <si>
    <t>Acessibilidade visual</t>
  </si>
  <si>
    <t>Encoding eficiente (posição &gt; comprimento &gt; área); contraste; redundância controlada (Franconeri 2021).</t>
  </si>
  <si>
    <t>Literatura acadêmica</t>
  </si>
  <si>
    <t>Os encodings respeitam a hierarquia perceptual? Há alternativas para daltonismo?</t>
  </si>
  <si>
    <t>Inclusão</t>
  </si>
  <si>
    <t>Linguagem</t>
  </si>
  <si>
    <t>Conteúdo em qualquer língua aceito; inglês como acompanhamento (VisStory).</t>
  </si>
  <si>
    <t>Há versões multilíngues? O idioma original é respeitado?</t>
  </si>
  <si>
    <t>Vozes representadas</t>
  </si>
  <si>
    <t>Trabalhos premiados em 2025 (CWA) destacaram pautas de mulheres, indígenas, periferia, povos da floresta.</t>
  </si>
  <si>
    <t>Cláudio Weber Abramo 2024-2025</t>
  </si>
  <si>
    <t>Quem fala no projeto? Quem é o sujeito dos dados?</t>
  </si>
  <si>
    <t>Inovação</t>
  </si>
  <si>
    <t>Experimentação</t>
  </si>
  <si>
    <t>Novas tecnologias OU novos formatos OU novas metodologias — categoria explícita do CWA.</t>
  </si>
  <si>
    <t>Cláudio Weber Abramo (Inovação)</t>
  </si>
  <si>
    <t>O que neste projeto não existia antes?</t>
  </si>
  <si>
    <t>Formatos não-convencionais</t>
  </si>
  <si>
    <t>Físicos, sonoros, baseados em jogos, AR/VR, crochê — todos aceitos pela VisStory.</t>
  </si>
  <si>
    <t>O formato escolhido é o mais adequado à mensagem?</t>
  </si>
  <si>
    <t>Catálogo de Projetos Premiados e Finalistas</t>
  </si>
  <si>
    <t>Inclui vencedores e finalistas relevantes das edições mais recentes (2024–2026). Use o ID para referência cruzada nas abas 5 e 6.</t>
  </si>
  <si>
    <t>ID</t>
  </si>
  <si>
    <t>Projeto</t>
  </si>
  <si>
    <t>Organização</t>
  </si>
  <si>
    <t>País</t>
  </si>
  <si>
    <t>Ano</t>
  </si>
  <si>
    <t>Categoria</t>
  </si>
  <si>
    <t>Tema</t>
  </si>
  <si>
    <t>Formato principal</t>
  </si>
  <si>
    <t>Justificativa do júri / destaque</t>
  </si>
  <si>
    <t>P01</t>
  </si>
  <si>
    <t>Eleições Municipais 2024: posicionamento ambiental dos eleitos na Amazônia</t>
  </si>
  <si>
    <t>InfoAmazonia</t>
  </si>
  <si>
    <t>2025</t>
  </si>
  <si>
    <t>CWA</t>
  </si>
  <si>
    <t>Visualização (Vencedor)</t>
  </si>
  <si>
    <t>Política e meio ambiente</t>
  </si>
  <si>
    <t>Reportagem com gráficos interativos</t>
  </si>
  <si>
    <t>Vencedor da categoria Visualização — qualidade jornalística e UX no recorte amazônico.</t>
  </si>
  <si>
    <t>https://infoamazonia.org/2024/10/31/eleicoes-municipais-2024-qual-e-o-posicionamento-dos-eleitos-na-amazonia-em-relacao-ao-meio-ambiente/</t>
  </si>
  <si>
    <t>P02</t>
  </si>
  <si>
    <t>Rio 60ºC — Como a cidade se prepara para eventos climáticos extremos</t>
  </si>
  <si>
    <t>Ambiental Media</t>
  </si>
  <si>
    <t>Visualização (Finalista)</t>
  </si>
  <si>
    <t>Mudança climática urbana</t>
  </si>
  <si>
    <t>Site interativo / scrollytelling</t>
  </si>
  <si>
    <t>Finalista — narrativa visual sobre adaptação climática no Rio.</t>
  </si>
  <si>
    <t>https://rio60.ambiental.media/</t>
  </si>
  <si>
    <t>P03</t>
  </si>
  <si>
    <t>Como enfrentamos as doenças tropicais negligenciadas</t>
  </si>
  <si>
    <t>Nexo Jornal</t>
  </si>
  <si>
    <t>Saúde pública</t>
  </si>
  <si>
    <t>Especial gráfico</t>
  </si>
  <si>
    <t>Finalista — combinação de explainer e dados sobre dengue, Chagas e outras DTNs.</t>
  </si>
  <si>
    <t>https://www.nexojornal.com.br/especial/2024/09/12/dengue-doenca-de-chagas-e-outras-doencas-tropicais-como-combater</t>
  </si>
  <si>
    <t>P04</t>
  </si>
  <si>
    <t>Check-Up</t>
  </si>
  <si>
    <t>Aos Fatos</t>
  </si>
  <si>
    <t>Inovação (Vencedor)</t>
  </si>
  <si>
    <t>Desinformação em saúde</t>
  </si>
  <si>
    <t>Ferramenta + reportagem</t>
  </si>
  <si>
    <t>Vencedor de Inovação — anúncios de curas falsas em sites jornalísticos.</t>
  </si>
  <si>
    <t>https://www.aosfatos.org/noticias/anuncios-sites-jornalisticos-desinformacao-saude-curas-falsas/</t>
  </si>
  <si>
    <t>P05</t>
  </si>
  <si>
    <t>Projeto Escravizadores</t>
  </si>
  <si>
    <t>Agência Pública</t>
  </si>
  <si>
    <t>Investigação (Vencedor)</t>
  </si>
  <si>
    <t>Memória e escravidão</t>
  </si>
  <si>
    <t>Especial multimídia com base de dados</t>
  </si>
  <si>
    <t>Vencedor de Investigação — escravizadores brasileiros nos séculos XIX-XX.</t>
  </si>
  <si>
    <t>https://apublica.org/especial/projeto-escravizadores-investigacoes-sobre-escravidao-no-brasil/</t>
  </si>
  <si>
    <t>P06</t>
  </si>
  <si>
    <t>Letais, violentos e intencionais: crimes contra policiais no Ceará</t>
  </si>
  <si>
    <t>O POVO+</t>
  </si>
  <si>
    <t>Dados Abertos (Vencedor)</t>
  </si>
  <si>
    <t>Segurança pública</t>
  </si>
  <si>
    <t>Reportagem especial com dataset</t>
  </si>
  <si>
    <t>Vencedor de Dados Abertos — mapeamento sistemático com microdados.</t>
  </si>
  <si>
    <t>https://mais.opovo.com.br/</t>
  </si>
  <si>
    <t>P07</t>
  </si>
  <si>
    <t>Caminhos da alimentação - o que chega à mesa das mulheres negras</t>
  </si>
  <si>
    <t>Gênero e Número</t>
  </si>
  <si>
    <t>2024</t>
  </si>
  <si>
    <t>Vencedor 2024</t>
  </si>
  <si>
    <t>Insegurança alimentar e raça</t>
  </si>
  <si>
    <t>Site dedicado scrollytelling</t>
  </si>
  <si>
    <t>Recorte interseccional de raça, gênero e alimentação.</t>
  </si>
  <si>
    <t>https://alimentacao.generonumero.media/</t>
  </si>
  <si>
    <t>P08</t>
  </si>
  <si>
    <t>Mapa Nacional da Violência de gênero</t>
  </si>
  <si>
    <t>DataSenado</t>
  </si>
  <si>
    <t>Violência de gênero</t>
  </si>
  <si>
    <t>Dashboard nacional</t>
  </si>
  <si>
    <t>Plataforma oficial com dados longitudinais por UF.</t>
  </si>
  <si>
    <t>https://www.senado.leg.br/institucional/datasenado/mapadaviolencia/#/inicio</t>
  </si>
  <si>
    <t>P09</t>
  </si>
  <si>
    <t>Panorama das Favelas de São Paulo</t>
  </si>
  <si>
    <t>Agência Mural</t>
  </si>
  <si>
    <t>Finalista 2024</t>
  </si>
  <si>
    <t>Periferia urbana</t>
  </si>
  <si>
    <t>Especial cartográfico</t>
  </si>
  <si>
    <t>Cartografia de favelas com voz local.</t>
  </si>
  <si>
    <t>https://www.agenciamural.org.br/especiais/favelas-de-sao-paulo/</t>
  </si>
  <si>
    <t>P10</t>
  </si>
  <si>
    <t>Interrompidas: Sem apoio, adolescentes no Maranhão abandonam a escola após a gravidez</t>
  </si>
  <si>
    <t>Gênero e Número / Fiquem Sabendo</t>
  </si>
  <si>
    <t>Inscrito 2025</t>
  </si>
  <si>
    <t>Educação, gravidez na adolescência, evasão</t>
  </si>
  <si>
    <t>Reportagem com dados</t>
  </si>
  <si>
    <t>Recorte direto sobre desigualdade educacional e gênero.</t>
  </si>
  <si>
    <t>https://www.generonumero.media/reportagens/adolescentes-gravidez-escola/</t>
  </si>
  <si>
    <t>P11</t>
  </si>
  <si>
    <t>Prouni tem 85% de ociosidade no 2º semestre 2024</t>
  </si>
  <si>
    <t>g1 / Globo</t>
  </si>
  <si>
    <t>Educação superior, acesso</t>
  </si>
  <si>
    <t>Análise quantitativa do desperdício de bolsas Prouni.</t>
  </si>
  <si>
    <t>https://g1.globo.com/educacao/noticia/2025/05/18/prouni-tem-85percent-de-ociosidade-em-2024-e-acumula-25-milhoes-de-bolsas-nao-preenchidas-em-12-anos.ghtml</t>
  </si>
  <si>
    <t>P12</t>
  </si>
  <si>
    <t>IDEB 2023: o Pará aprendeu a ganhar boa nota...</t>
  </si>
  <si>
    <t>Amazônia Latitude</t>
  </si>
  <si>
    <t>Avaliação educacional, indicadores</t>
  </si>
  <si>
    <t>Análise crítica</t>
  </si>
  <si>
    <t>Crítica metodológica do IDEB com recorte regional.</t>
  </si>
  <si>
    <t>https://www.amazonialatitude.com/2024/10/15/ideb-2023-para-boa-nota-aluno-nao-estuda-escancara-limitacoes-indicador/</t>
  </si>
  <si>
    <t>P13</t>
  </si>
  <si>
    <t>Escolarização piora em Estados com alta de gastos no ensino básico</t>
  </si>
  <si>
    <t>Poder360</t>
  </si>
  <si>
    <t>Educação básica, financiamento</t>
  </si>
  <si>
    <t>Cruzamento de gastos × resultados educacionais.</t>
  </si>
  <si>
    <t>https://www.poder360.com.br/poder-economia/escolaridade-piora-em-estados-com-alta-de-gastos-no-ensino-basico/</t>
  </si>
  <si>
    <t>P14</t>
  </si>
  <si>
    <t>PcDs no ensino superior quase triplicam em dez anos</t>
  </si>
  <si>
    <t>Portal R7</t>
  </si>
  <si>
    <t>Educação inclusiva, deficiência</t>
  </si>
  <si>
    <t>Inclusão de PcDs no ensino superior brasileiro.</t>
  </si>
  <si>
    <t>https://noticias.r7.com/brasilia/pcds-no-ensino-superior-quase-triplicam-em-dez-anos-mas-ainda-sao-menos-de-1-dos-estudantes-07052025/</t>
  </si>
  <si>
    <t>P15</t>
  </si>
  <si>
    <t>40 Acres and a Lie</t>
  </si>
  <si>
    <t>Center for Public Integrity, Reveal, Mother Jones</t>
  </si>
  <si>
    <t>EUA</t>
  </si>
  <si>
    <t>Sigma</t>
  </si>
  <si>
    <t>Vencedor</t>
  </si>
  <si>
    <t>Justiça racial, terra, escravidão</t>
  </si>
  <si>
    <t>Investigação multimídia + base de dados pública</t>
  </si>
  <si>
    <t>"Phenomenal use of machine learning tools to uncover historically hidden truths" — ML aplicado a registros do século XIX.</t>
  </si>
  <si>
    <t>https://www.motherjones.com/politics/2024/06/40-acres-and-a-lie/</t>
  </si>
  <si>
    <t>P16</t>
  </si>
  <si>
    <t>Buildings Wrapped in Solid Gasoline</t>
  </si>
  <si>
    <t>Reuters</t>
  </si>
  <si>
    <t>Espanha</t>
  </si>
  <si>
    <t>Segurança em edifícios, regulação</t>
  </si>
  <si>
    <t>Scroll-driven video + 3D + investigação</t>
  </si>
  <si>
    <t>Animações scroll-driven e renderização 3D para explicar tema técnico.</t>
  </si>
  <si>
    <t>https://www.reuters.com/graphics/BUILDING-FIRES/byprqyryzve/</t>
  </si>
  <si>
    <t>P17</t>
  </si>
  <si>
    <t>Carousel of Emotions</t>
  </si>
  <si>
    <t>Texty</t>
  </si>
  <si>
    <t>Ucrânia</t>
  </si>
  <si>
    <t>Desinformação, manipulação retórica</t>
  </si>
  <si>
    <t>Análise NLP + interativo</t>
  </si>
  <si>
    <t>Modelo open-source com fine-tuning específico — análise de manipulação em 100 canais Telegram.</t>
  </si>
  <si>
    <t>https://texty.org.ua/projects/113693/carousel-of-emotions-manipulation-level-of-ukrainian-telegram-channels/</t>
  </si>
  <si>
    <t>P18</t>
  </si>
  <si>
    <t>Terranexus Durán</t>
  </si>
  <si>
    <t>Tierra de Nadie / CONNECTAS</t>
  </si>
  <si>
    <t>Equador</t>
  </si>
  <si>
    <t>Crime organizado, terra urbana</t>
  </si>
  <si>
    <t>Mapas + análise de registros</t>
  </si>
  <si>
    <t>Jornalismo de dados aplicado em "deserto de informação" com perigo real.</t>
  </si>
  <si>
    <t>https://investigacionduran.ec/terranexus/</t>
  </si>
  <si>
    <t>P19</t>
  </si>
  <si>
    <t>The Price of Bakhmut</t>
  </si>
  <si>
    <t>Mediazona, BBC News Russian</t>
  </si>
  <si>
    <t>Rússia</t>
  </si>
  <si>
    <t>Guerra, mercenários, Wagner</t>
  </si>
  <si>
    <t>Investigação documental + visualização</t>
  </si>
  <si>
    <t>Cruzamento de pagamentos a famílias, chats, processos e dog tags.</t>
  </si>
  <si>
    <t>https://en.zona.media/article/2024/06/10/wagner-trl</t>
  </si>
  <si>
    <t>P20</t>
  </si>
  <si>
    <t>Under the Surface</t>
  </si>
  <si>
    <t>Le Monde + 7 parceiros europeus</t>
  </si>
  <si>
    <t>França / Europa</t>
  </si>
  <si>
    <t>Poluição de aquíferos, pesticidas</t>
  </si>
  <si>
    <t>Mapas interativos + scrollytelling</t>
  </si>
  <si>
    <t>Python para extração; MapLibre + OpenStreetMap; scrollytelling in-house.</t>
  </si>
  <si>
    <t>https://www.lemonde.fr/les-decodeurs/visuel/2024/05/15/300-contaminants-dans-nos-nappes-polluant-par-polluant-notre-analyse-des-eaux-souterraines-en-france_6233361_4355770.html</t>
  </si>
  <si>
    <t>P21</t>
  </si>
  <si>
    <t>Votar entre Balas</t>
  </si>
  <si>
    <t>Data Cívica, Animal Político, México Evalúa</t>
  </si>
  <si>
    <t>México</t>
  </si>
  <si>
    <t>Violência político-criminal</t>
  </si>
  <si>
    <t>Plataforma com dataset aberto + mapas</t>
  </si>
  <si>
    <t>Banco de dados próprio, automatizado, mantido público e gratuito.</t>
  </si>
  <si>
    <t>https://votar-entre-balas.datacivica.org/</t>
  </si>
  <si>
    <t>P22</t>
  </si>
  <si>
    <t>Last Story (portfolio)</t>
  </si>
  <si>
    <t>Last Story</t>
  </si>
  <si>
    <t>Gaza / Cisjordânia</t>
  </si>
  <si>
    <t>Vencedor (Portfolio)</t>
  </si>
  <si>
    <t>Saúde, pobreza e guerra</t>
  </si>
  <si>
    <t>Múltiplas reportagens com identidade visual unificada</t>
  </si>
  <si>
    <t>Identidade visual coesa entre projetos; produzido em condições extremas.</t>
  </si>
  <si>
    <t>https://www.laststory.net/</t>
  </si>
  <si>
    <t>P23</t>
  </si>
  <si>
    <t>Salud Con Lupa (portfolio)</t>
  </si>
  <si>
    <t>Salud Con Lupa</t>
  </si>
  <si>
    <t>Peru</t>
  </si>
  <si>
    <t>Saúde pública, gênero, regulação</t>
  </si>
  <si>
    <t>Reportagens investigativas com dados</t>
  </si>
  <si>
    <t>Pequena redação produzindo investigações de alta densidade analítica.</t>
  </si>
  <si>
    <t>https://saludconlupa.com/</t>
  </si>
  <si>
    <t>P24</t>
  </si>
  <si>
    <t>SCMP Graphics (portfolio)</t>
  </si>
  <si>
    <t>South China Morning Post</t>
  </si>
  <si>
    <t>Hong Kong</t>
  </si>
  <si>
    <t>Trabalho doméstico, construção ilegal, esporte</t>
  </si>
  <si>
    <t>Infografia digital</t>
  </si>
  <si>
    <t>Equipe de 9 pessoas — exemplo de explainer journalism.</t>
  </si>
  <si>
    <t>https://multimedia.scmp.com/infographics/news/hong-kong/article/3290257/helpers-bedtime-stories/index.html</t>
  </si>
  <si>
    <t>P25</t>
  </si>
  <si>
    <t>Hidden Information Behind Fancy Words: ESG Reports</t>
  </si>
  <si>
    <t>City University of Hong Kong</t>
  </si>
  <si>
    <t>2026</t>
  </si>
  <si>
    <t>Shortlist</t>
  </si>
  <si>
    <t>Sustentabilidade corporativa, NLP</t>
  </si>
  <si>
    <t>Vídeo explicativo</t>
  </si>
  <si>
    <t>NLP em 20 anos de relatórios ESG; descompasso retórica × impacto.</t>
  </si>
  <si>
    <t>P26</t>
  </si>
  <si>
    <t>Twin City Tales — Shenzhen-Hong Kong border</t>
  </si>
  <si>
    <t>Mobilidade transfronteiriça, pós-pandemia</t>
  </si>
  <si>
    <t>Web notebook narrativo</t>
  </si>
  <si>
    <t>Notebook web com etnografia + dados de fluxo.</t>
  </si>
  <si>
    <t>https://twincitytale-visstory2026.netlify.app/</t>
  </si>
  <si>
    <t>P27</t>
  </si>
  <si>
    <t>Chinese Canine Heritage</t>
  </si>
  <si>
    <t>Tongji University</t>
  </si>
  <si>
    <t>China</t>
  </si>
  <si>
    <t>Patrimônio cultural, conservação</t>
  </si>
  <si>
    <t>Scrollytelling Next.js + D3</t>
  </si>
  <si>
    <t>Storytelling cultural com data viz acadêmica.</t>
  </si>
  <si>
    <t>https://chortlezs.github.io/</t>
  </si>
  <si>
    <t>P28</t>
  </si>
  <si>
    <t>Visualizing the Storm: Cyber Violence</t>
  </si>
  <si>
    <t>Violência online, desinformação</t>
  </si>
  <si>
    <t>Site interativo com metáfora visual</t>
  </si>
  <si>
    <t>Narrativa especulativa + análise de 64 casos reais.</t>
  </si>
  <si>
    <t>https://dontwannagetbald.github.io/visualizing-the-storm.github.io/</t>
  </si>
  <si>
    <t>P29</t>
  </si>
  <si>
    <t>India Ki Hawa — Air Quality</t>
  </si>
  <si>
    <t>Northeastern University</t>
  </si>
  <si>
    <t>EUA / Índia</t>
  </si>
  <si>
    <t>Poluição do ar, saúde pública</t>
  </si>
  <si>
    <t>Scroll-based data story</t>
  </si>
  <si>
    <t>Scrollytelling sobre crise de qualidade do ar na Índia.</t>
  </si>
  <si>
    <t>https://priyanka-karnam-india-aqi-visualization.vercel.app</t>
  </si>
  <si>
    <t>P30</t>
  </si>
  <si>
    <t>A Small Boat in a Great Tide</t>
  </si>
  <si>
    <t>Fudan University et al.</t>
  </si>
  <si>
    <t>Modernização chinesa, biografia</t>
  </si>
  <si>
    <t>Site narrativo</t>
  </si>
  <si>
    <t>Cruzamento de história oral individual com dados macroeconômicos.</t>
  </si>
  <si>
    <t>https://kitee0325.github.io/modern-chronicle/</t>
  </si>
  <si>
    <t>Matriz de Features e Funcionalidades por Projeto</t>
  </si>
  <si>
    <t>Marcação: ✓ presente | ○ parcial | – ausente. Use esta matriz para identificar combinações vencedoras de features. Os IDs (P01–P30) referenciam a aba "4. Projetos".</t>
  </si>
  <si>
    <t>Scrollytelling</t>
  </si>
  <si>
    <t>Mapa interativo</t>
  </si>
  <si>
    <t>Filtros / busca por usuário</t>
  </si>
  <si>
    <t>Visualização 3D</t>
  </si>
  <si>
    <t>Animação / vídeo embarcado</t>
  </si>
  <si>
    <t>Comparação temporal (linha do tempo)</t>
  </si>
  <si>
    <t>Dataset aberto baixável</t>
  </si>
  <si>
    <t>Metodologia documentada</t>
  </si>
  <si>
    <t>Código aberto (repositório)</t>
  </si>
  <si>
    <t>Multilinguismo</t>
  </si>
  <si>
    <t>Mobile-first / responsivo</t>
  </si>
  <si>
    <t>Recorte interseccional (gênero, raça, território)</t>
  </si>
  <si>
    <t>Voz / depoimento humano integrado</t>
  </si>
  <si>
    <t>Uso de IA / ML / NLP</t>
  </si>
  <si>
    <t>Web notebook (Observable, Idyll, Distill)</t>
  </si>
  <si>
    <t>Identidade visual coesa (sistema de design)</t>
  </si>
  <si>
    <t>Microcopy / annotated charts</t>
  </si>
  <si>
    <t>Acessibilidade declarada (alt text, contraste)</t>
  </si>
  <si>
    <t>Personalização ("seus dados")</t>
  </si>
  <si>
    <t>Atualização contínua (não estático)</t>
  </si>
  <si>
    <t>✓</t>
  </si>
  <si>
    <t>○</t>
  </si>
  <si>
    <t>–</t>
  </si>
  <si>
    <t>Total ✓</t>
  </si>
  <si>
    <t>Stack Tecnológica Recorrente em Projetos Premiados</t>
  </si>
  <si>
    <t>Lista compilada a partir de declarações dos júris (Sigma e CWA) e da literatura/comunidade VisStory. Use como ponto de partida para escolha técnica.</t>
  </si>
  <si>
    <t>Camada</t>
  </si>
  <si>
    <t>Ferramenta / Biblioteca</t>
  </si>
  <si>
    <t>Para que serve</t>
  </si>
  <si>
    <t>Exemplos de uso em projetos premiados</t>
  </si>
  <si>
    <t>Considerações</t>
  </si>
  <si>
    <t>Coleta / scraping</t>
  </si>
  <si>
    <t>Python (BeautifulSoup, Scrapy, requests)</t>
  </si>
  <si>
    <t>Raspagem de dados públicos, automação de coleta</t>
  </si>
  <si>
    <t>Sigma 2025 (vários); Reinaldo Chaves (Abraji); Texty (Carousel of Emotions)</t>
  </si>
  <si>
    <t>Demanda conhecimento técnico; documentar para garantir replicabilidade.</t>
  </si>
  <si>
    <t>Análise</t>
  </si>
  <si>
    <t>Python (pandas, numpy, scikit-learn)</t>
  </si>
  <si>
    <t>Limpeza, análise estatística, feature engineering</t>
  </si>
  <si>
    <t>40 Acres and a Lie (ML em registros do séc. XIX); Under the Surface</t>
  </si>
  <si>
    <t>Padrão de fato em jornalismo de dados moderno.</t>
  </si>
  <si>
    <t>Análise — NLP / IA</t>
  </si>
  <si>
    <t>spaCy, Hugging Face, fine-tuning de modelos open-source</t>
  </si>
  <si>
    <t>Análise de linguagem em larga escala, classificação</t>
  </si>
  <si>
    <t>Carousel of Emotions (Texty) — modelo open-source com fine-tuning específico</t>
  </si>
  <si>
    <t>Júri valorizou explicação de por que NÃO usar modelo "out of the box".</t>
  </si>
  <si>
    <t>Visualização — gráficos</t>
  </si>
  <si>
    <t>D3.js</t>
  </si>
  <si>
    <t>Customização total de gráficos web, base para storytelling</t>
  </si>
  <si>
    <t>Chinese Canine Heritage; Twin City Tales; vários do The Pudding</t>
  </si>
  <si>
    <t>Curva de aprendizado alta; alternativas: Vega-Lite, Observable Plot.</t>
  </si>
  <si>
    <t>Observable / Observable Plot</t>
  </si>
  <si>
    <t>Notebooks reativos para data viz, fácil compartilhamento</t>
  </si>
  <si>
    <t>Recomendado pelo VisStory (categoria "Data Notebooks")</t>
  </si>
  <si>
    <t>Bom para protótipos publicáveis.</t>
  </si>
  <si>
    <t>Visualização — mapas</t>
  </si>
  <si>
    <t>MapLibre GL JS + OpenStreetMap</t>
  </si>
  <si>
    <t>Mapas interativos vetoriais sem dependência proprietária</t>
  </si>
  <si>
    <t>Under the Surface (Le Monde) — destacado pelo júri Sigma</t>
  </si>
  <si>
    <t>Open source; alternativa ao Mapbox; bom desempenho mobile.</t>
  </si>
  <si>
    <t>Leaflet, Mapbox, Kepler.gl</t>
  </si>
  <si>
    <t>Mapeamento web variado</t>
  </si>
  <si>
    <t>InfoAmazonia, DataSenado, Agência Mural</t>
  </si>
  <si>
    <t>Mapbox tem custo; Leaflet é leve; Kepler bom para grandes volumes.</t>
  </si>
  <si>
    <t>Visualização — 3D</t>
  </si>
  <si>
    <t>Three.js, react-three-fiber</t>
  </si>
  <si>
    <t>Renderização 3D e cenas imersivas</t>
  </si>
  <si>
    <t>Buildings Wrapped in Solid Gasoline (Reuters)</t>
  </si>
  <si>
    <t>Cuidado com custo cognitivo e desempenho mobile.</t>
  </si>
  <si>
    <t>Storytelling — frameworks</t>
  </si>
  <si>
    <t>Scrollama, Idyll, Distill</t>
  </si>
  <si>
    <t>Scrollytelling com triggers JS</t>
  </si>
  <si>
    <t>Padrão entre projetos premiados de scrollytelling</t>
  </si>
  <si>
    <t>Scrollama é leve e flexível; Idyll/Distill mais opinativos.</t>
  </si>
  <si>
    <t>Storytelling — site</t>
  </si>
  <si>
    <t>Next.js, Svelte, Astro, 11ty</t>
  </si>
  <si>
    <t>Sites estáticos/SSR rápidos com componentes</t>
  </si>
  <si>
    <t>Chinese Canine Heritage (Next.js); muitos especiais do NYT (Svelte)</t>
  </si>
  <si>
    <t>Svelte é o queridinho de redações em 2024–2026.</t>
  </si>
  <si>
    <t>Storytelling — animação</t>
  </si>
  <si>
    <t>GSAP, Lottie, Framer Motion</t>
  </si>
  <si>
    <t>Animação de elementos durante scroll/interação</t>
  </si>
  <si>
    <t>Reuters Buildings; muitos projetos VisStory</t>
  </si>
  <si>
    <t>GSAP é referência; Lottie bom para microanimações.</t>
  </si>
  <si>
    <t>Vídeo / animação</t>
  </si>
  <si>
    <t>After Effects, Blender, Premiere</t>
  </si>
  <si>
    <t>Vídeo data-driven</t>
  </si>
  <si>
    <t>Vídeos de submissão Sigma; muitos VisStory</t>
  </si>
  <si>
    <t>Categoria explícita do VisStory.</t>
  </si>
  <si>
    <t>Repositório / open data</t>
  </si>
  <si>
    <t>GitHub, Zenodo, CKAN</t>
  </si>
  <si>
    <t>Publicar dataset, código e metodologia</t>
  </si>
  <si>
    <t>Cláudio Weber Abramo (categoria Dados Abertos exige isso)</t>
  </si>
  <si>
    <t>Zenodo dá DOI; CKAN para portais governamentais.</t>
  </si>
  <si>
    <t>Acessibilidade</t>
  </si>
  <si>
    <t>axe-core, WAVE, Lighthouse</t>
  </si>
  <si>
    <t>Auditoria automatizada de WCAG</t>
  </si>
  <si>
    <t>Pouco mencionado nos projetos — lacuna recorrente</t>
  </si>
  <si>
    <t>Oportunidade clara de diferencial em projetos educacionais.</t>
  </si>
  <si>
    <t>Backend / pipeline</t>
  </si>
  <si>
    <t>Airflow, dbt, BigQuery, Postgres</t>
  </si>
  <si>
    <t>Pipelines de atualização contínua</t>
  </si>
  <si>
    <t>Votar entre Balas (Data Cívica) — busca automatizada de notícias</t>
  </si>
  <si>
    <t>Necessário se a plataforma for "viva" (atualização periódica).</t>
  </si>
  <si>
    <t>Hospedagem</t>
  </si>
  <si>
    <t>Vercel, Netlify, Cloudflare Pages, GitHub Pages</t>
  </si>
  <si>
    <t>Deploy estático rápido e barato</t>
  </si>
  <si>
    <t>Maioria dos VisStory; muitos especiais editoriais</t>
  </si>
  <si>
    <t>Vercel/Netlify para Next/Svelte; GitHub Pages para portfólio acadêmico.</t>
  </si>
  <si>
    <t>Diferenciais Estratégicos Recorrentes em Projetos Premiados</t>
  </si>
  <si>
    <t>Padrões qualitativos que se repetem em projetos vencedores nas três premiações analisadas. Use como tese de produto.</t>
  </si>
  <si>
    <t>Diferencial</t>
  </si>
  <si>
    <t>Em que consiste</t>
  </si>
  <si>
    <t>Evidência (projetos)</t>
  </si>
  <si>
    <t>Implicação para um produto educacional</t>
  </si>
  <si>
    <t>Storytelling guiado supera dashboard</t>
  </si>
  <si>
    <t>Vencedores apresentam um percurso curado com começo-meio-fim, em vez de apenas filtros e gráficos soltos.</t>
  </si>
  <si>
    <t>P02, P15, P16, P20, P25, P29; regra explícita do VisStory</t>
  </si>
  <si>
    <t>Em desigualdade educacional, defina a história antes do dashboard. Dashboard sem narrativa não compete.</t>
  </si>
  <si>
    <t>Recorte interseccional</t>
  </si>
  <si>
    <t>Projetos vencedores cruzam múltiplos marcadores (raça, gênero, território, classe).</t>
  </si>
  <si>
    <t>P07 (mulheres negras + alimentação); P10 (gênero + educação + território); P14 (PcD + educação)</t>
  </si>
  <si>
    <t>Para educação no Brasil, sem cruzar raça, gênero, território e classe, o retrato fica incompleto.</t>
  </si>
  <si>
    <t>Voz humana junto ao número</t>
  </si>
  <si>
    <t>Combinação de microdados em escala com testemunhos individuais.</t>
  </si>
  <si>
    <t>P15, P20, P21, P22 (Last Story); CWA premia projetos com voz comunitária</t>
  </si>
  <si>
    <t>Vincule cada estatística a uma trajetória — abandono escolar, atraso escolar, primeira geração na universidade.</t>
  </si>
  <si>
    <t>Dataset público + metodologia</t>
  </si>
  <si>
    <t>Publicação do dataset bruto, do código e da nota metodológica é diferencial.</t>
  </si>
  <si>
    <t>P15, P17, P21; categoria explícita CWA Dados Abertos</t>
  </si>
  <si>
    <t>Disponibilize um repositório com microdados do Inep/Censo Escolar tratados — gera autoridade e replicação.</t>
  </si>
  <si>
    <t>Atualização viva</t>
  </si>
  <si>
    <t>Plataformas que continuam vivas (não snapshot estático) ganham mais relevância.</t>
  </si>
  <si>
    <t>P08 (DataSenado); P21 (Votar entre Balas); P04 (Check-Up)</t>
  </si>
  <si>
    <t>Estruture pipeline de atualização anual com Censo Escolar e SAEB; observatório &gt; reportagem.</t>
  </si>
  <si>
    <t>Pequenas redações competitivas</t>
  </si>
  <si>
    <t>Projetos de equipes pequenas brigam por prêmios globais — design e foco compensam tamanho.</t>
  </si>
  <si>
    <t>P22 (Gaza); P23 (Salud Con Lupa, Peru); 238 das 543 inscrições Sigma 2026 vieram de redações pequenas</t>
  </si>
  <si>
    <t>Não é necessário grande estrutura — é necessário foco editorial e bom design.</t>
  </si>
  <si>
    <t>Multilinguismo e mobile-first</t>
  </si>
  <si>
    <t>Aceito explicitamente no VisStory; comum em projetos transnacionais Sigma.</t>
  </si>
  <si>
    <t>P15-P30 (vários); P20 (transnacional europeu)</t>
  </si>
  <si>
    <t>Em educação brasileira, ainda há baixíssima penetração mobile em produtos sérios — oportunidade.</t>
  </si>
  <si>
    <t>Crítica metodológica de indicadores</t>
  </si>
  <si>
    <t>Projetos premiados problematizam o próprio indicador (não tomam IDEB/Ideb como dado).</t>
  </si>
  <si>
    <t>P12 (IDEB-Pará); P13 (gasto × resultado)</t>
  </si>
  <si>
    <t>Educação tem indicadores complexos (IDEB, Saeb, Censo Escolar) — explicar como o indicador é construído já é diferencial.</t>
  </si>
  <si>
    <t>Acessibilidade como diferencial não saturado</t>
  </si>
  <si>
    <t>Pouquíssimos projetos premiados declaram conformidade WCAG ou versão para leitor de tela.</t>
  </si>
  <si>
    <t>Lacuna nos 30 projetos analisados</t>
  </si>
  <si>
    <t>Posicionar acessibilidade desde o briefing pode virar tese própria do projeto.</t>
  </si>
  <si>
    <t>Identidade visual sistêmica</t>
  </si>
  <si>
    <t>Vencedores de portfólio (Last Story, SCMP, Salud Con Lupa) têm sistema de design coeso.</t>
  </si>
  <si>
    <t>P22, P23, P24</t>
  </si>
  <si>
    <t>Construa um sistema de design (cores, tipografia, ícones, gráficos canônicos) antes de partir para o conteúdo.</t>
  </si>
  <si>
    <t>Uso responsável de IA</t>
  </si>
  <si>
    <t>Quando IA aparece, é justificada (open source, fine-tuning explicado, limites declarados).</t>
  </si>
  <si>
    <t>P15, P17</t>
  </si>
  <si>
    <t>Se usar IA em educação (textos, classificação de redações), declare limites e vieses.</t>
  </si>
  <si>
    <t>Articulação com agenda pública</t>
  </si>
  <si>
    <t>Projetos viram referência em audiências, ações judiciais, políticas.</t>
  </si>
  <si>
    <t>P08 (DataSenado); P15 (Center for Public Integrity); P21 (Data Cívica)</t>
  </si>
  <si>
    <t>Pense impacto desde o briefing — a quem este produto se destina influenciar?</t>
  </si>
  <si>
    <t>Acessibilidade, Equidade e Inclusão em Plataformas de Visualização</t>
  </si>
  <si>
    <t>Lacunas e oportunidades para um produto que aborde desigualdade educacional — é incoerente comunicar desigualdade através de uma plataforma que reproduz exclusões.</t>
  </si>
  <si>
    <t>Padrão / referência</t>
  </si>
  <si>
    <t>Como projetos premiados se comportam</t>
  </si>
  <si>
    <t>Recomendação</t>
  </si>
  <si>
    <t>Acessibilidade visual (WCAG 2.2)</t>
  </si>
  <si>
    <t>Contraste mínimo 4.5:1; texto redimensionável; alternativas a cor</t>
  </si>
  <si>
    <t>Raramente declarada; muitos projetos premiados usam contraste limítrofe e cor como única dimensão</t>
  </si>
  <si>
    <t>Audite com axe-core/Lighthouse; ofereça modo alto contraste; nunca use só cor.</t>
  </si>
  <si>
    <t>Acessibilidade cognitiva</t>
  </si>
  <si>
    <t>Linguagem clara; hierarquia tipográfica; resumos de leitura; glossário</t>
  </si>
  <si>
    <t>Variável — projetos como P03 (Nexo) explicam bem; outros pressupõem letramento alto</t>
  </si>
  <si>
    <t>Para educação, parta do letramento médio brasileiro (PNAD); ofereça versão "leitura fácil".</t>
  </si>
  <si>
    <t>Acessibilidade tecnológica</t>
  </si>
  <si>
    <t>Performance em conexões 3G; peso de página; mobile-first</t>
  </si>
  <si>
    <t>Projetos com 3D (P16) e D3 pesado podem ser inacessíveis em mobile/banda baixa</t>
  </si>
  <si>
    <t>Defina orçamento de performance (LCP &lt; 2,5s em 3G); fallback estático para gráficos pesados.</t>
  </si>
  <si>
    <t>Encoding perceptual eficiente</t>
  </si>
  <si>
    <t>Posição &gt; comprimento &gt; área &gt; ângulo &gt; intensidade (Cleveland &amp; McGill; Franconeri 2021)</t>
  </si>
  <si>
    <t>Projetos premiados em geral respeitam, mas pizza/área aparecem em projetos jornalísticos</t>
  </si>
  <si>
    <t>Use posição/comprimento como encoding primário; evite donut chart para comparações precisas.</t>
  </si>
  <si>
    <t>Conteúdo em ao menos pt-BR e en; libras quando possível; idiomas indígenas em pautas pertinentes</t>
  </si>
  <si>
    <t>Sigma valoriza projetos transnacionais; CWA premia pautas indígenas mas raramente em idioma indígena</t>
  </si>
  <si>
    <t>Português + inglês como mínimo; espanhol para Mercosul; libras como diferencial real.</t>
  </si>
  <si>
    <t>Diversidade de fonte de dados</t>
  </si>
  <si>
    <t>Microdados oficiais + dados primários + voz comunitária</t>
  </si>
  <si>
    <t>Projetos vencedores combinam as três (P05, P10, P22)</t>
  </si>
  <si>
    <t>Nunca dependa só de microdado oficial — escutas comunitárias dão textura e validação cruzada.</t>
  </si>
  <si>
    <t>Privacidade e ética</t>
  </si>
  <si>
    <t>LGPD; anonimização; consentimento informado; direito à imagem</t>
  </si>
  <si>
    <t>Premiados destacam proteção de fontes (P19) e cuidados em zonas de conflito</t>
  </si>
  <si>
    <t>Em educação, atenção redobrada com dados de menores — anonimização forte e curadoria de imagens.</t>
  </si>
  <si>
    <t>Representatividade da equipe</t>
  </si>
  <si>
    <t>Equipes diversas produzem narrativas mais ricas</t>
  </si>
  <si>
    <t>CWA tem júri explicitamente diverso (indígenas, mulheres, periferia)</t>
  </si>
  <si>
    <t>Composição da equipe importa tanto quanto stack — projete o time como projeta o produto.</t>
  </si>
  <si>
    <t>Distribuição além do site próprio</t>
  </si>
  <si>
    <t>Newsletter, instagram, TikTok, podcast, impresso popular</t>
  </si>
  <si>
    <t>Projetos premiados vão além do site — Sigma 2025 destaca alcance no YouTube de P19</t>
  </si>
  <si>
    <t>Para educação, considere material para escola, professor, secretarias e pais.</t>
  </si>
  <si>
    <t>Reuso e licenciamento</t>
  </si>
  <si>
    <t>Creative Commons; dataset com licença explícita; código com licença OSI</t>
  </si>
  <si>
    <t>CWA usa CC-BY 4.0 explicitamente; muitos premiados publicam com licença permissiva</t>
  </si>
  <si>
    <t>CC-BY ou CC-BY-SA para conteúdo; MIT/Apache para código; documente direitos de imagem.</t>
  </si>
  <si>
    <t>Síntese: Lições para um Produto sobre Desigualdade Educacional</t>
  </si>
  <si>
    <t>Pontes entre o que as plataformas premiadas fazem bem e o desafio específico de comunicar desigualdade educacional brasileira em uma plataforma digital. Este é o ponto de partida para a próxima conversa, mais acadêmica.</t>
  </si>
  <si>
    <t>O que aprendemos das plataformas premiadas</t>
  </si>
  <si>
    <t>Aplicação ao contexto de desigualdade educacional</t>
  </si>
  <si>
    <t>Briefing</t>
  </si>
  <si>
    <t>Vencedores começam por uma pergunta jornalística específica (ex.: "quais aquíferos europeus estão poluídos?"), não por "o que dá pra fazer com este dataset?"</t>
  </si>
  <si>
    <t>Comece por perguntas como: "Onde a desigualdade educacional cresceu mais entre 2014–2024?" ou "Quem são os 10% que ficam para trás em cada município?". Evite o briefing "vamos visualizar o Censo Escolar".</t>
  </si>
  <si>
    <t>Indicadores</t>
  </si>
  <si>
    <t>Projetos como P12 problematizam o próprio indicador antes de usá-lo.</t>
  </si>
  <si>
    <t>IDEB, Saeb, Ideb-2, IDH-M, taxa de distorção idade-série e taxa de evasão precisam ser explicados, não tomados como verdade. Considere uma camada da plataforma dedicada à crítica metodológica.</t>
  </si>
  <si>
    <t>Recorte</t>
  </si>
  <si>
    <t>Recortes interseccionais (raça × gênero × território) são marca registrada dos vencedores.</t>
  </si>
  <si>
    <t>Cruze cor/raça (PNAD/Censo Escolar), gênero, localização (urbano/rural, periferia, indígena, quilombola), nível socioeconômico, deficiência. Cada um isolado distorce.</t>
  </si>
  <si>
    <t>Voz humana</t>
  </si>
  <si>
    <t>P10 (Gênero e Número) sobre adolescentes que abandonam a escola após gravidez é exemplar — combina dados nacionais com trajetórias reais.</t>
  </si>
  <si>
    <t>Para cada estatística, encontre uma pessoa. Considere parcerias com escolas, ONGs e secretarias para acesso ético.</t>
  </si>
  <si>
    <t>Visualização perceptual</t>
  </si>
  <si>
    <t>Posição/comprimento são os encodings mais eficientes (Franconeri 2021; literatura no projeto).</t>
  </si>
  <si>
    <t>Evite mapa coroplético como visualização principal — é bonito mas perceptualmente fraco para comparações precisas. Combine mapa com bar chart ranking.</t>
  </si>
  <si>
    <t>Storytelling</t>
  </si>
  <si>
    <t>Scrollytelling com microcopy/anotações diretas em gráficos foi destacado em estudos (CHI 2024) e em quase todos os projetos premiados.</t>
  </si>
  <si>
    <t>Anotações diretas no gráfico, com cor de destaque e título explicativo, superam legendas tradicionais — especialmente para públicos com letramento estatístico variado.</t>
  </si>
  <si>
    <t>Lacuna nos premiados — quase ninguém declara WCAG.</t>
  </si>
  <si>
    <t>Posicionar acessibilidade desde o início pode ser tese diferenciadora. Em educação, acessibilidade é tema, não só técnica.</t>
  </si>
  <si>
    <t>Dados abertos</t>
  </si>
  <si>
    <t>CWA tem categoria explícita; Sigma valoriza repositórios; VisStory exige dataset público.</t>
  </si>
  <si>
    <t>Disponibilize microdados tratados (Censo Escolar, Saeb, Enem) com schema documentado e licença CC-BY. Vira ativo da comunidade educacional.</t>
  </si>
  <si>
    <t>Atualização</t>
  </si>
  <si>
    <t>Plataformas vivas (P08, P21) ganham relevância contínua.</t>
  </si>
  <si>
    <t>Pipeline anual após cada divulgação Inep/INEP. Considere observatório, não reportagem única.</t>
  </si>
  <si>
    <t>Distribuição</t>
  </si>
  <si>
    <t>Vencedores chegam a TikTok, YouTube, newsletter, impresso comunitário.</t>
  </si>
  <si>
    <t>Material para professor (PDF, slide, atividade), para secretaria (relatório executivo), para família (versão WhatsApp). A plataforma web é só um vértice.</t>
  </si>
  <si>
    <t>Equipe</t>
  </si>
  <si>
    <t>Diversidade do júri CWA reflete diversidade que se busca premiar.</t>
  </si>
  <si>
    <t>Componha equipe com pesquisadoras de educação, cientistas de dados, comunicadoras de periferia, professoras da rede pública, designers — não apenas perfis técnicos.</t>
  </si>
  <si>
    <t>Licenciamento</t>
  </si>
  <si>
    <t>CC-BY 4.0 e código aberto são padrão.</t>
  </si>
  <si>
    <t>CC-BY-SA para conteúdo (garante que derivados continuem abertos); MIT/Apache para código; documentação com licença CC-BY.</t>
  </si>
  <si>
    <t>Sigma 2025 destaca projetos que mudaram política, geraram audiências, viraram lei.</t>
  </si>
  <si>
    <t>Mapeie desde o briefing: a quem você quer influenciar? CONSED? Câmara dos Deputados? Conselhos municipais de educação? Famílias? Cada audiência exige design distinto.</t>
  </si>
  <si>
    <t>Referências e Links Úteis</t>
  </si>
  <si>
    <t>Item</t>
  </si>
  <si>
    <t>Sigma Awards (GIJN)</t>
  </si>
  <si>
    <t>PacificVis Visual Data Storytelling Contest</t>
  </si>
  <si>
    <t>Malofiej Awards</t>
  </si>
  <si>
    <t>Recurso</t>
  </si>
  <si>
    <t>Repositório de projetos CWA (GitHub)</t>
  </si>
  <si>
    <t>https://github.com/escola-de-dados/premio_cwa</t>
  </si>
  <si>
    <t>Caixa de ferramentas — Jornalismo de Dados Brasil</t>
  </si>
  <si>
    <t>https://kit.jornalismodedados.org.br</t>
  </si>
  <si>
    <t>Manual de Jornalismo de Dados (Escola de Dados / OKBR)</t>
  </si>
  <si>
    <t>https://jornalismodedados.org.br</t>
  </si>
  <si>
    <t>The Pudding (referência editorial em data journalism)</t>
  </si>
  <si>
    <t>https://pudding.cool</t>
  </si>
  <si>
    <t>NYT Graphics 2019 Year in Graphics</t>
  </si>
  <si>
    <t>https://www.nytimes.com/interactive/2019/12/30/us/2019-year-in-graphics.html</t>
  </si>
  <si>
    <t>Visualizing Data (Andy Kirk)</t>
  </si>
  <si>
    <t>https://www.visualisingdata.com/blog/</t>
  </si>
  <si>
    <t>Distill (interactive articles)</t>
  </si>
  <si>
    <t>https://distill.pub</t>
  </si>
  <si>
    <t>Idyll</t>
  </si>
  <si>
    <t>https://idyll-lang.org</t>
  </si>
  <si>
    <t>Observable</t>
  </si>
  <si>
    <t>https://observablehq.com</t>
  </si>
  <si>
    <t>Explorable Explanations</t>
  </si>
  <si>
    <t>https://explorabl.es</t>
  </si>
  <si>
    <t>Google News Lab</t>
  </si>
  <si>
    <t>https://medium.com/google-news-lab</t>
  </si>
  <si>
    <t>Acadêmico</t>
  </si>
  <si>
    <t>Franconeri et al. — The Science of Visual Data Communication: What Works (2021, anexado ao projeto)</t>
  </si>
  <si>
    <t>—</t>
  </si>
  <si>
    <t>Franconeri (2021) — Three Perceptual Tools for Seeing and Understanding Visualized Data (anexado)</t>
  </si>
  <si>
    <t>Shao et al. (2024) — Data Storytelling in Data Visualisation, CHI ’24 (anexado)</t>
  </si>
  <si>
    <t>https://doi.org/10.1145/3613904.3643022</t>
  </si>
  <si>
    <t>Educação dados</t>
  </si>
  <si>
    <t>Inep — Microdados Censo Escolar</t>
  </si>
  <si>
    <t>https://www.gov.br/inep/pt-br/acesso-a-informacao/dados-abertos</t>
  </si>
  <si>
    <t>Inep — Saeb e IDEB</t>
  </si>
  <si>
    <t>https://www.gov.br/inep/pt-br/areas-de-atuacao/avaliacao-e-exames-educacionais</t>
  </si>
  <si>
    <t>IBGE — PNAD Contínua Educação</t>
  </si>
  <si>
    <t>https://www.ibge.gov.br/estatisticas/sociais/educacao</t>
  </si>
  <si>
    <t>Todos pela Educação — Observatório</t>
  </si>
  <si>
    <t>https://todospelaeducacao.org.br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</si>
</sst>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1F3A5F"/>
      <name val="Arial"/>
      <family val="2"/>
    </font>
    <font>
      <b/>
      <sz val="12"/>
      <color rgb="FF1F3A5F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b/>
      <sz val="10"/>
      <color rgb="FF1F3A5F"/>
      <name val="Arial"/>
      <family val="2"/>
    </font>
    <font>
      <u/>
      <sz val="11"/>
      <color theme="1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2F2"/>
        <bgColor rgb="FFFCF3CF"/>
      </patternFill>
    </fill>
    <fill>
      <patternFill patternType="solid">
        <fgColor rgb="FFD5F5E3"/>
        <bgColor rgb="FFCCFFFF"/>
      </patternFill>
    </fill>
    <fill>
      <patternFill patternType="solid">
        <fgColor rgb="FFFCF3CF"/>
        <bgColor rgb="FFF2F2F2"/>
      </patternFill>
    </fill>
    <fill>
      <patternFill patternType="solid">
        <fgColor rgb="FFFADBD8"/>
        <bgColor rgb="FFFCF3CF"/>
      </patternFill>
    </fill>
    <fill>
      <patternFill patternType="solid">
        <fgColor rgb="FFD9E2F3"/>
        <bgColor rgb="FFD5F5E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5">
    <xf numFmtId="0" fontId="0" fillId="0" borderId="0" xfId="0"/>
    <xf numFmtId="0" fontId="4" fillId="0" borderId="0" xfId="0" applyFont="1" applyAlignment="1">
      <alignment horizontal="left" vertical="top" wrapText="1"/>
    </xf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0" xfId="0" applyFont="1"/>
    <xf numFmtId="0" fontId="4" fillId="3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top" wrapText="1"/>
    </xf>
    <xf numFmtId="0" fontId="8" fillId="3" borderId="1" xfId="1" applyFill="1" applyBorder="1" applyAlignment="1">
      <alignment horizontal="left" vertical="top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F3CF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emonde.fr/les-decodeurs/visuel/2024/05/15/300-contaminants-dans-nos-nappes-polluant-par-polluant-notre-analyse-des-eaux-souterraines-en-france_6233361_435577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1" width="28" customWidth="1"/>
    <col min="2" max="2" width="95" customWidth="1"/>
  </cols>
  <sheetData>
    <row r="1" spans="1:6" ht="30" customHeight="1" x14ac:dyDescent="0.2">
      <c r="A1" s="2" t="s">
        <v>0</v>
      </c>
      <c r="B1" s="2"/>
      <c r="C1" s="2"/>
      <c r="D1" s="2"/>
      <c r="E1" s="2"/>
      <c r="F1" s="2"/>
    </row>
    <row r="3" spans="1:6" ht="16" x14ac:dyDescent="0.2">
      <c r="A3" s="3" t="s">
        <v>1</v>
      </c>
    </row>
    <row r="4" spans="1:6" ht="15" customHeight="1" x14ac:dyDescent="0.2">
      <c r="A4" s="1" t="s">
        <v>2</v>
      </c>
      <c r="B4" s="1"/>
      <c r="C4" s="1"/>
      <c r="D4" s="1"/>
      <c r="E4" s="1"/>
      <c r="F4" s="1"/>
    </row>
    <row r="5" spans="1:6" x14ac:dyDescent="0.2">
      <c r="A5" s="1"/>
      <c r="B5" s="1"/>
      <c r="C5" s="1"/>
      <c r="D5" s="1"/>
      <c r="E5" s="1"/>
      <c r="F5" s="1"/>
    </row>
    <row r="6" spans="1:6" x14ac:dyDescent="0.2">
      <c r="A6" s="1"/>
      <c r="B6" s="1"/>
      <c r="C6" s="1"/>
      <c r="D6" s="1"/>
      <c r="E6" s="1"/>
      <c r="F6" s="1"/>
    </row>
    <row r="8" spans="1:6" ht="16" x14ac:dyDescent="0.2">
      <c r="A8" s="3" t="s">
        <v>3</v>
      </c>
    </row>
    <row r="9" spans="1:6" ht="30" customHeight="1" x14ac:dyDescent="0.2">
      <c r="A9" s="4" t="s">
        <v>4</v>
      </c>
      <c r="B9" s="4" t="s">
        <v>5</v>
      </c>
    </row>
    <row r="10" spans="1:6" x14ac:dyDescent="0.2">
      <c r="A10" s="5" t="s">
        <v>6</v>
      </c>
      <c r="B10" s="5" t="s">
        <v>7</v>
      </c>
    </row>
    <row r="11" spans="1:6" ht="28" x14ac:dyDescent="0.2">
      <c r="A11" s="5" t="s">
        <v>8</v>
      </c>
      <c r="B11" s="5" t="s">
        <v>9</v>
      </c>
    </row>
    <row r="12" spans="1:6" x14ac:dyDescent="0.2">
      <c r="A12" s="5" t="s">
        <v>10</v>
      </c>
      <c r="B12" s="5" t="s">
        <v>11</v>
      </c>
    </row>
    <row r="13" spans="1:6" x14ac:dyDescent="0.2">
      <c r="A13" s="5" t="s">
        <v>12</v>
      </c>
      <c r="B13" s="5" t="s">
        <v>13</v>
      </c>
    </row>
    <row r="14" spans="1:6" x14ac:dyDescent="0.2">
      <c r="A14" s="5" t="s">
        <v>14</v>
      </c>
      <c r="B14" s="5" t="s">
        <v>15</v>
      </c>
    </row>
    <row r="15" spans="1:6" x14ac:dyDescent="0.2">
      <c r="A15" s="5" t="s">
        <v>16</v>
      </c>
      <c r="B15" s="5" t="s">
        <v>17</v>
      </c>
    </row>
    <row r="16" spans="1:6" x14ac:dyDescent="0.2">
      <c r="A16" s="5" t="s">
        <v>18</v>
      </c>
      <c r="B16" s="5" t="s">
        <v>19</v>
      </c>
    </row>
    <row r="17" spans="1:6" ht="28" x14ac:dyDescent="0.2">
      <c r="A17" s="5" t="s">
        <v>20</v>
      </c>
      <c r="B17" s="5" t="s">
        <v>21</v>
      </c>
    </row>
    <row r="18" spans="1:6" ht="28" x14ac:dyDescent="0.2">
      <c r="A18" s="5" t="s">
        <v>22</v>
      </c>
      <c r="B18" s="5" t="s">
        <v>23</v>
      </c>
    </row>
    <row r="19" spans="1:6" x14ac:dyDescent="0.2">
      <c r="A19" s="5" t="s">
        <v>24</v>
      </c>
      <c r="B19" s="5" t="s">
        <v>25</v>
      </c>
    </row>
    <row r="22" spans="1:6" ht="16" x14ac:dyDescent="0.2">
      <c r="A22" s="3" t="s">
        <v>26</v>
      </c>
    </row>
    <row r="23" spans="1:6" ht="15" customHeight="1" x14ac:dyDescent="0.2">
      <c r="A23" s="1" t="s">
        <v>27</v>
      </c>
      <c r="B23" s="1"/>
      <c r="C23" s="1"/>
      <c r="D23" s="1"/>
      <c r="E23" s="1"/>
      <c r="F23" s="1"/>
    </row>
    <row r="24" spans="1:6" x14ac:dyDescent="0.2">
      <c r="A24" s="1"/>
      <c r="B24" s="1"/>
      <c r="C24" s="1"/>
      <c r="D24" s="1"/>
      <c r="E24" s="1"/>
      <c r="F24" s="1"/>
    </row>
    <row r="25" spans="1:6" x14ac:dyDescent="0.2">
      <c r="A25" s="1"/>
      <c r="B25" s="1"/>
      <c r="C25" s="1"/>
      <c r="D25" s="1"/>
      <c r="E25" s="1"/>
      <c r="F25" s="1"/>
    </row>
    <row r="26" spans="1:6" x14ac:dyDescent="0.2">
      <c r="A26" s="1"/>
      <c r="B26" s="1"/>
      <c r="C26" s="1"/>
      <c r="D26" s="1"/>
      <c r="E26" s="1"/>
      <c r="F26" s="1"/>
    </row>
    <row r="28" spans="1:6" ht="16" x14ac:dyDescent="0.2">
      <c r="A28" s="3" t="s">
        <v>28</v>
      </c>
      <c r="B28" s="6" t="s">
        <v>29</v>
      </c>
    </row>
  </sheetData>
  <mergeCells count="3">
    <mergeCell ref="A1:F1"/>
    <mergeCell ref="A4:F6"/>
    <mergeCell ref="A23:F2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zoomScaleNormal="100" workbookViewId="0">
      <pane ySplit="3" topLeftCell="A4" activePane="bottomLeft" state="frozen"/>
      <selection pane="bottomLeft" sqref="A1:H1"/>
    </sheetView>
  </sheetViews>
  <sheetFormatPr baseColWidth="10" defaultColWidth="8.6640625" defaultRowHeight="15" x14ac:dyDescent="0.2"/>
  <cols>
    <col min="1" max="1" width="34" customWidth="1"/>
    <col min="2" max="2" width="32" customWidth="1"/>
    <col min="3" max="3" width="22" customWidth="1"/>
    <col min="4" max="5" width="38" customWidth="1"/>
    <col min="6" max="6" width="50" customWidth="1"/>
    <col min="7" max="7" width="22" customWidth="1"/>
    <col min="8" max="8" width="42" customWidth="1"/>
  </cols>
  <sheetData>
    <row r="1" spans="1:8" ht="27.75" customHeight="1" x14ac:dyDescent="0.2">
      <c r="A1" s="2" t="s">
        <v>30</v>
      </c>
      <c r="B1" s="2"/>
      <c r="C1" s="2"/>
      <c r="D1" s="2"/>
      <c r="E1" s="2"/>
      <c r="F1" s="2"/>
      <c r="G1" s="2"/>
      <c r="H1" s="2"/>
    </row>
    <row r="3" spans="1:8" ht="36" customHeight="1" x14ac:dyDescent="0.2">
      <c r="A3" s="4" t="s">
        <v>31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36</v>
      </c>
      <c r="G3" s="4" t="s">
        <v>37</v>
      </c>
      <c r="H3" s="4" t="s">
        <v>38</v>
      </c>
    </row>
    <row r="4" spans="1:8" ht="79.5" customHeight="1" x14ac:dyDescent="0.2">
      <c r="A4" s="7" t="s">
        <v>39</v>
      </c>
      <c r="B4" s="7" t="s">
        <v>40</v>
      </c>
      <c r="C4" s="7" t="s">
        <v>41</v>
      </c>
      <c r="D4" s="7" t="s">
        <v>42</v>
      </c>
      <c r="E4" s="7" t="s">
        <v>43</v>
      </c>
      <c r="F4" s="7" t="s">
        <v>44</v>
      </c>
      <c r="G4" s="7" t="s">
        <v>45</v>
      </c>
      <c r="H4" s="7" t="s">
        <v>46</v>
      </c>
    </row>
    <row r="5" spans="1:8" ht="79.5" customHeight="1" x14ac:dyDescent="0.2">
      <c r="A5" s="5" t="s">
        <v>47</v>
      </c>
      <c r="B5" s="5" t="s">
        <v>48</v>
      </c>
      <c r="C5" s="5" t="s">
        <v>49</v>
      </c>
      <c r="D5" s="5" t="s">
        <v>50</v>
      </c>
      <c r="E5" s="5" t="s">
        <v>51</v>
      </c>
      <c r="F5" s="5" t="s">
        <v>52</v>
      </c>
      <c r="G5" s="5" t="s">
        <v>53</v>
      </c>
      <c r="H5" s="5" t="s">
        <v>54</v>
      </c>
    </row>
    <row r="6" spans="1:8" ht="79.5" customHeight="1" x14ac:dyDescent="0.2">
      <c r="A6" s="7" t="s">
        <v>55</v>
      </c>
      <c r="B6" s="7" t="s">
        <v>56</v>
      </c>
      <c r="C6" s="7" t="s">
        <v>57</v>
      </c>
      <c r="D6" s="7" t="s">
        <v>58</v>
      </c>
      <c r="E6" s="7" t="s">
        <v>59</v>
      </c>
      <c r="F6" s="7" t="s">
        <v>60</v>
      </c>
      <c r="G6" s="7" t="s">
        <v>61</v>
      </c>
      <c r="H6" s="7" t="s">
        <v>62</v>
      </c>
    </row>
    <row r="7" spans="1:8" ht="79.5" customHeight="1" x14ac:dyDescent="0.2">
      <c r="A7" s="5" t="s">
        <v>63</v>
      </c>
      <c r="B7" s="5" t="s">
        <v>64</v>
      </c>
      <c r="C7" s="5" t="s">
        <v>65</v>
      </c>
      <c r="D7" s="5" t="s">
        <v>66</v>
      </c>
      <c r="E7" s="5" t="s">
        <v>67</v>
      </c>
      <c r="F7" s="5" t="s">
        <v>68</v>
      </c>
      <c r="G7" s="5" t="s">
        <v>69</v>
      </c>
      <c r="H7" s="5" t="s">
        <v>70</v>
      </c>
    </row>
    <row r="8" spans="1:8" ht="79.5" customHeight="1" x14ac:dyDescent="0.2">
      <c r="A8" s="7" t="s">
        <v>71</v>
      </c>
      <c r="B8" s="7" t="s">
        <v>72</v>
      </c>
      <c r="C8" s="7" t="s">
        <v>73</v>
      </c>
      <c r="D8" s="7" t="s">
        <v>74</v>
      </c>
      <c r="E8" s="7" t="s">
        <v>75</v>
      </c>
      <c r="F8" s="7" t="s">
        <v>76</v>
      </c>
      <c r="G8" s="7" t="s">
        <v>77</v>
      </c>
      <c r="H8" s="7" t="s">
        <v>78</v>
      </c>
    </row>
    <row r="9" spans="1:8" ht="79.5" customHeight="1" x14ac:dyDescent="0.2">
      <c r="A9" s="5" t="s">
        <v>79</v>
      </c>
      <c r="B9" s="5" t="s">
        <v>80</v>
      </c>
      <c r="C9" s="5" t="s">
        <v>81</v>
      </c>
      <c r="D9" s="5" t="s">
        <v>82</v>
      </c>
      <c r="E9" s="5" t="s">
        <v>83</v>
      </c>
      <c r="F9" s="5" t="s">
        <v>84</v>
      </c>
      <c r="G9" s="5" t="s">
        <v>69</v>
      </c>
      <c r="H9" s="5" t="s">
        <v>70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zoomScaleNormal="100" workbookViewId="0">
      <pane ySplit="4" topLeftCell="A5" activePane="bottomLeft" state="frozen"/>
      <selection pane="bottomLeft" sqref="A1:E1"/>
    </sheetView>
  </sheetViews>
  <sheetFormatPr baseColWidth="10" defaultColWidth="8.6640625" defaultRowHeight="15" x14ac:dyDescent="0.2"/>
  <cols>
    <col min="1" max="1" width="16" customWidth="1"/>
    <col min="2" max="2" width="28" customWidth="1"/>
    <col min="3" max="3" width="60" customWidth="1"/>
    <col min="4" max="4" width="28" customWidth="1"/>
    <col min="5" max="5" width="50" customWidth="1"/>
  </cols>
  <sheetData>
    <row r="1" spans="1:5" ht="27.75" customHeight="1" x14ac:dyDescent="0.2">
      <c r="A1" s="2" t="s">
        <v>85</v>
      </c>
      <c r="B1" s="2"/>
      <c r="C1" s="2"/>
      <c r="D1" s="2"/>
      <c r="E1" s="2"/>
    </row>
    <row r="2" spans="1:5" ht="15" customHeight="1" x14ac:dyDescent="0.2">
      <c r="A2" s="1" t="s">
        <v>86</v>
      </c>
      <c r="B2" s="1"/>
      <c r="C2" s="1"/>
      <c r="D2" s="1"/>
      <c r="E2" s="1"/>
    </row>
    <row r="4" spans="1:5" ht="36" customHeight="1" x14ac:dyDescent="0.2">
      <c r="A4" s="4" t="s">
        <v>87</v>
      </c>
      <c r="B4" s="4" t="s">
        <v>88</v>
      </c>
      <c r="C4" s="4" t="s">
        <v>89</v>
      </c>
      <c r="D4" s="4" t="s">
        <v>90</v>
      </c>
      <c r="E4" s="4" t="s">
        <v>91</v>
      </c>
    </row>
    <row r="5" spans="1:5" ht="79.5" customHeight="1" x14ac:dyDescent="0.2">
      <c r="A5" s="5" t="s">
        <v>92</v>
      </c>
      <c r="B5" s="5" t="s">
        <v>93</v>
      </c>
      <c r="C5" s="5" t="s">
        <v>94</v>
      </c>
      <c r="D5" s="5" t="s">
        <v>95</v>
      </c>
      <c r="E5" s="5" t="s">
        <v>96</v>
      </c>
    </row>
    <row r="6" spans="1:5" ht="79.5" customHeight="1" x14ac:dyDescent="0.2">
      <c r="A6" s="7" t="s">
        <v>92</v>
      </c>
      <c r="B6" s="7" t="s">
        <v>97</v>
      </c>
      <c r="C6" s="7" t="s">
        <v>98</v>
      </c>
      <c r="D6" s="7" t="s">
        <v>95</v>
      </c>
      <c r="E6" s="7" t="s">
        <v>99</v>
      </c>
    </row>
    <row r="7" spans="1:5" ht="79.5" customHeight="1" x14ac:dyDescent="0.2">
      <c r="A7" s="5" t="s">
        <v>92</v>
      </c>
      <c r="B7" s="5" t="s">
        <v>100</v>
      </c>
      <c r="C7" s="5" t="s">
        <v>101</v>
      </c>
      <c r="D7" s="5" t="s">
        <v>95</v>
      </c>
      <c r="E7" s="5" t="s">
        <v>102</v>
      </c>
    </row>
    <row r="8" spans="1:5" ht="79.5" customHeight="1" x14ac:dyDescent="0.2">
      <c r="A8" s="7" t="s">
        <v>103</v>
      </c>
      <c r="B8" s="7" t="s">
        <v>104</v>
      </c>
      <c r="C8" s="7" t="s">
        <v>105</v>
      </c>
      <c r="D8" s="7" t="s">
        <v>106</v>
      </c>
      <c r="E8" s="7" t="s">
        <v>107</v>
      </c>
    </row>
    <row r="9" spans="1:5" ht="79.5" customHeight="1" x14ac:dyDescent="0.2">
      <c r="A9" s="5" t="s">
        <v>103</v>
      </c>
      <c r="B9" s="5" t="s">
        <v>108</v>
      </c>
      <c r="C9" s="5" t="s">
        <v>109</v>
      </c>
      <c r="D9" s="5" t="s">
        <v>95</v>
      </c>
      <c r="E9" s="5" t="s">
        <v>110</v>
      </c>
    </row>
    <row r="10" spans="1:5" ht="79.5" customHeight="1" x14ac:dyDescent="0.2">
      <c r="A10" s="7" t="s">
        <v>103</v>
      </c>
      <c r="B10" s="7" t="s">
        <v>111</v>
      </c>
      <c r="C10" s="7" t="s">
        <v>112</v>
      </c>
      <c r="D10" s="7" t="s">
        <v>47</v>
      </c>
      <c r="E10" s="7" t="s">
        <v>113</v>
      </c>
    </row>
    <row r="11" spans="1:5" ht="79.5" customHeight="1" x14ac:dyDescent="0.2">
      <c r="A11" s="5" t="s">
        <v>114</v>
      </c>
      <c r="B11" s="5" t="s">
        <v>115</v>
      </c>
      <c r="C11" s="5" t="s">
        <v>116</v>
      </c>
      <c r="D11" s="5" t="s">
        <v>47</v>
      </c>
      <c r="E11" s="5" t="s">
        <v>117</v>
      </c>
    </row>
    <row r="12" spans="1:5" ht="79.5" customHeight="1" x14ac:dyDescent="0.2">
      <c r="A12" s="7" t="s">
        <v>114</v>
      </c>
      <c r="B12" s="7" t="s">
        <v>118</v>
      </c>
      <c r="C12" s="7" t="s">
        <v>119</v>
      </c>
      <c r="D12" s="7" t="s">
        <v>120</v>
      </c>
      <c r="E12" s="7" t="s">
        <v>121</v>
      </c>
    </row>
    <row r="13" spans="1:5" ht="79.5" customHeight="1" x14ac:dyDescent="0.2">
      <c r="A13" s="5" t="s">
        <v>122</v>
      </c>
      <c r="B13" s="5" t="s">
        <v>123</v>
      </c>
      <c r="C13" s="5" t="s">
        <v>124</v>
      </c>
      <c r="D13" s="5" t="s">
        <v>125</v>
      </c>
      <c r="E13" s="5" t="s">
        <v>126</v>
      </c>
    </row>
    <row r="14" spans="1:5" ht="79.5" customHeight="1" x14ac:dyDescent="0.2">
      <c r="A14" s="7" t="s">
        <v>122</v>
      </c>
      <c r="B14" s="7" t="s">
        <v>127</v>
      </c>
      <c r="C14" s="7" t="s">
        <v>128</v>
      </c>
      <c r="D14" s="7" t="s">
        <v>47</v>
      </c>
      <c r="E14" s="7" t="s">
        <v>129</v>
      </c>
    </row>
    <row r="15" spans="1:5" ht="79.5" customHeight="1" x14ac:dyDescent="0.2">
      <c r="A15" s="5" t="s">
        <v>130</v>
      </c>
      <c r="B15" s="5" t="s">
        <v>131</v>
      </c>
      <c r="C15" s="5" t="s">
        <v>132</v>
      </c>
      <c r="D15" s="5" t="s">
        <v>133</v>
      </c>
      <c r="E15" s="5" t="s">
        <v>134</v>
      </c>
    </row>
    <row r="16" spans="1:5" ht="79.5" customHeight="1" x14ac:dyDescent="0.2">
      <c r="A16" s="7" t="s">
        <v>130</v>
      </c>
      <c r="B16" s="7" t="s">
        <v>135</v>
      </c>
      <c r="C16" s="7" t="s">
        <v>136</v>
      </c>
      <c r="D16" s="7" t="s">
        <v>137</v>
      </c>
      <c r="E16" s="7" t="s">
        <v>138</v>
      </c>
    </row>
    <row r="17" spans="1:5" ht="79.5" customHeight="1" x14ac:dyDescent="0.2">
      <c r="A17" s="5" t="s">
        <v>139</v>
      </c>
      <c r="B17" s="5" t="s">
        <v>140</v>
      </c>
      <c r="C17" s="5" t="s">
        <v>141</v>
      </c>
      <c r="D17" s="5" t="s">
        <v>95</v>
      </c>
      <c r="E17" s="5" t="s">
        <v>142</v>
      </c>
    </row>
    <row r="18" spans="1:5" ht="79.5" customHeight="1" x14ac:dyDescent="0.2">
      <c r="A18" s="7" t="s">
        <v>139</v>
      </c>
      <c r="B18" s="7" t="s">
        <v>143</v>
      </c>
      <c r="C18" s="7" t="s">
        <v>144</v>
      </c>
      <c r="D18" s="7" t="s">
        <v>145</v>
      </c>
      <c r="E18" s="7" t="s">
        <v>146</v>
      </c>
    </row>
    <row r="19" spans="1:5" ht="79.5" customHeight="1" x14ac:dyDescent="0.2">
      <c r="A19" s="5" t="s">
        <v>147</v>
      </c>
      <c r="B19" s="5" t="s">
        <v>148</v>
      </c>
      <c r="C19" s="5" t="s">
        <v>149</v>
      </c>
      <c r="D19" s="5" t="s">
        <v>150</v>
      </c>
      <c r="E19" s="5" t="s">
        <v>151</v>
      </c>
    </row>
    <row r="20" spans="1:5" ht="79.5" customHeight="1" x14ac:dyDescent="0.2">
      <c r="A20" s="7" t="s">
        <v>147</v>
      </c>
      <c r="B20" s="7" t="s">
        <v>152</v>
      </c>
      <c r="C20" s="7" t="s">
        <v>153</v>
      </c>
      <c r="D20" s="7" t="s">
        <v>95</v>
      </c>
      <c r="E20" s="7" t="s">
        <v>154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4"/>
  <sheetViews>
    <sheetView tabSelected="1" topLeftCell="H1" zoomScaleNormal="100" workbookViewId="0">
      <pane ySplit="4" topLeftCell="A20" activePane="bottomLeft" state="frozen"/>
      <selection pane="bottomLeft" activeCell="K24" sqref="K24"/>
    </sheetView>
  </sheetViews>
  <sheetFormatPr baseColWidth="10" defaultColWidth="8.6640625" defaultRowHeight="15" x14ac:dyDescent="0.2"/>
  <cols>
    <col min="1" max="1" width="6" customWidth="1"/>
    <col min="2" max="2" width="36" customWidth="1"/>
    <col min="3" max="3" width="28" customWidth="1"/>
    <col min="4" max="4" width="14" customWidth="1"/>
    <col min="5" max="5" width="8" customWidth="1"/>
    <col min="6" max="6" width="12" customWidth="1"/>
    <col min="7" max="7" width="18" customWidth="1"/>
    <col min="8" max="8" width="28" customWidth="1"/>
    <col min="9" max="9" width="26" customWidth="1"/>
    <col min="10" max="10" width="50" customWidth="1"/>
    <col min="11" max="11" width="38" customWidth="1"/>
  </cols>
  <sheetData>
    <row r="1" spans="1:11" ht="27.75" customHeight="1" x14ac:dyDescent="0.2">
      <c r="A1" s="2" t="s">
        <v>155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" customHeight="1" x14ac:dyDescent="0.2">
      <c r="A2" s="1" t="s">
        <v>156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 spans="1:11" ht="36" customHeight="1" x14ac:dyDescent="0.2">
      <c r="A4" s="4" t="s">
        <v>157</v>
      </c>
      <c r="B4" s="4" t="s">
        <v>158</v>
      </c>
      <c r="C4" s="4" t="s">
        <v>159</v>
      </c>
      <c r="D4" s="4" t="s">
        <v>160</v>
      </c>
      <c r="E4" s="4" t="s">
        <v>161</v>
      </c>
      <c r="F4" s="4" t="s">
        <v>31</v>
      </c>
      <c r="G4" s="4" t="s">
        <v>162</v>
      </c>
      <c r="H4" s="4" t="s">
        <v>163</v>
      </c>
      <c r="I4" s="4" t="s">
        <v>164</v>
      </c>
      <c r="J4" s="4" t="s">
        <v>165</v>
      </c>
      <c r="K4" s="4" t="s">
        <v>38</v>
      </c>
    </row>
    <row r="5" spans="1:11" ht="79.5" customHeight="1" x14ac:dyDescent="0.2">
      <c r="A5" s="5" t="s">
        <v>166</v>
      </c>
      <c r="B5" s="5" t="s">
        <v>167</v>
      </c>
      <c r="C5" s="5" t="s">
        <v>168</v>
      </c>
      <c r="D5" s="5" t="s">
        <v>41</v>
      </c>
      <c r="E5" s="5" t="s">
        <v>169</v>
      </c>
      <c r="F5" s="5" t="s">
        <v>170</v>
      </c>
      <c r="G5" s="5" t="s">
        <v>171</v>
      </c>
      <c r="H5" s="5" t="s">
        <v>172</v>
      </c>
      <c r="I5" s="5" t="s">
        <v>173</v>
      </c>
      <c r="J5" s="5" t="s">
        <v>174</v>
      </c>
      <c r="K5" s="5" t="s">
        <v>175</v>
      </c>
    </row>
    <row r="6" spans="1:11" ht="79.5" customHeight="1" x14ac:dyDescent="0.2">
      <c r="A6" s="7" t="s">
        <v>176</v>
      </c>
      <c r="B6" s="7" t="s">
        <v>177</v>
      </c>
      <c r="C6" s="7" t="s">
        <v>178</v>
      </c>
      <c r="D6" s="7" t="s">
        <v>41</v>
      </c>
      <c r="E6" s="7" t="s">
        <v>169</v>
      </c>
      <c r="F6" s="7" t="s">
        <v>170</v>
      </c>
      <c r="G6" s="7" t="s">
        <v>179</v>
      </c>
      <c r="H6" s="7" t="s">
        <v>180</v>
      </c>
      <c r="I6" s="7" t="s">
        <v>181</v>
      </c>
      <c r="J6" s="7" t="s">
        <v>182</v>
      </c>
      <c r="K6" s="7" t="s">
        <v>183</v>
      </c>
    </row>
    <row r="7" spans="1:11" ht="79.5" customHeight="1" x14ac:dyDescent="0.2">
      <c r="A7" s="5" t="s">
        <v>184</v>
      </c>
      <c r="B7" s="5" t="s">
        <v>185</v>
      </c>
      <c r="C7" s="5" t="s">
        <v>186</v>
      </c>
      <c r="D7" s="5" t="s">
        <v>41</v>
      </c>
      <c r="E7" s="5" t="s">
        <v>169</v>
      </c>
      <c r="F7" s="5" t="s">
        <v>170</v>
      </c>
      <c r="G7" s="5" t="s">
        <v>179</v>
      </c>
      <c r="H7" s="5" t="s">
        <v>187</v>
      </c>
      <c r="I7" s="5" t="s">
        <v>188</v>
      </c>
      <c r="J7" s="5" t="s">
        <v>189</v>
      </c>
      <c r="K7" s="5" t="s">
        <v>190</v>
      </c>
    </row>
    <row r="8" spans="1:11" ht="79.5" customHeight="1" x14ac:dyDescent="0.2">
      <c r="A8" s="7" t="s">
        <v>191</v>
      </c>
      <c r="B8" s="7" t="s">
        <v>192</v>
      </c>
      <c r="C8" s="7" t="s">
        <v>193</v>
      </c>
      <c r="D8" s="7" t="s">
        <v>41</v>
      </c>
      <c r="E8" s="7" t="s">
        <v>169</v>
      </c>
      <c r="F8" s="7" t="s">
        <v>170</v>
      </c>
      <c r="G8" s="7" t="s">
        <v>194</v>
      </c>
      <c r="H8" s="7" t="s">
        <v>195</v>
      </c>
      <c r="I8" s="7" t="s">
        <v>196</v>
      </c>
      <c r="J8" s="7" t="s">
        <v>197</v>
      </c>
      <c r="K8" s="7" t="s">
        <v>198</v>
      </c>
    </row>
    <row r="9" spans="1:11" ht="79.5" customHeight="1" x14ac:dyDescent="0.2">
      <c r="A9" s="5" t="s">
        <v>199</v>
      </c>
      <c r="B9" s="5" t="s">
        <v>200</v>
      </c>
      <c r="C9" s="5" t="s">
        <v>201</v>
      </c>
      <c r="D9" s="5" t="s">
        <v>41</v>
      </c>
      <c r="E9" s="5" t="s">
        <v>169</v>
      </c>
      <c r="F9" s="5" t="s">
        <v>170</v>
      </c>
      <c r="G9" s="5" t="s">
        <v>202</v>
      </c>
      <c r="H9" s="5" t="s">
        <v>203</v>
      </c>
      <c r="I9" s="5" t="s">
        <v>204</v>
      </c>
      <c r="J9" s="5" t="s">
        <v>205</v>
      </c>
      <c r="K9" s="5" t="s">
        <v>206</v>
      </c>
    </row>
    <row r="10" spans="1:11" ht="79.5" customHeight="1" x14ac:dyDescent="0.2">
      <c r="A10" s="7" t="s">
        <v>207</v>
      </c>
      <c r="B10" s="7" t="s">
        <v>208</v>
      </c>
      <c r="C10" s="7" t="s">
        <v>209</v>
      </c>
      <c r="D10" s="7" t="s">
        <v>41</v>
      </c>
      <c r="E10" s="7" t="s">
        <v>169</v>
      </c>
      <c r="F10" s="7" t="s">
        <v>170</v>
      </c>
      <c r="G10" s="7" t="s">
        <v>210</v>
      </c>
      <c r="H10" s="7" t="s">
        <v>211</v>
      </c>
      <c r="I10" s="7" t="s">
        <v>212</v>
      </c>
      <c r="J10" s="7" t="s">
        <v>213</v>
      </c>
      <c r="K10" s="7" t="s">
        <v>214</v>
      </c>
    </row>
    <row r="11" spans="1:11" ht="79.5" customHeight="1" x14ac:dyDescent="0.2">
      <c r="A11" s="5" t="s">
        <v>215</v>
      </c>
      <c r="B11" s="5" t="s">
        <v>216</v>
      </c>
      <c r="C11" s="5" t="s">
        <v>217</v>
      </c>
      <c r="D11" s="5" t="s">
        <v>41</v>
      </c>
      <c r="E11" s="5" t="s">
        <v>218</v>
      </c>
      <c r="F11" s="5" t="s">
        <v>170</v>
      </c>
      <c r="G11" s="5" t="s">
        <v>219</v>
      </c>
      <c r="H11" s="5" t="s">
        <v>220</v>
      </c>
      <c r="I11" s="5" t="s">
        <v>221</v>
      </c>
      <c r="J11" s="5" t="s">
        <v>222</v>
      </c>
      <c r="K11" s="5" t="s">
        <v>223</v>
      </c>
    </row>
    <row r="12" spans="1:11" ht="79.5" customHeight="1" x14ac:dyDescent="0.2">
      <c r="A12" s="7" t="s">
        <v>224</v>
      </c>
      <c r="B12" s="7" t="s">
        <v>225</v>
      </c>
      <c r="C12" s="7" t="s">
        <v>226</v>
      </c>
      <c r="D12" s="7" t="s">
        <v>41</v>
      </c>
      <c r="E12" s="7" t="s">
        <v>218</v>
      </c>
      <c r="F12" s="7" t="s">
        <v>170</v>
      </c>
      <c r="G12" s="7" t="s">
        <v>219</v>
      </c>
      <c r="H12" s="7" t="s">
        <v>227</v>
      </c>
      <c r="I12" s="7" t="s">
        <v>228</v>
      </c>
      <c r="J12" s="7" t="s">
        <v>229</v>
      </c>
      <c r="K12" s="7" t="s">
        <v>230</v>
      </c>
    </row>
    <row r="13" spans="1:11" ht="79.5" customHeight="1" x14ac:dyDescent="0.2">
      <c r="A13" s="5" t="s">
        <v>231</v>
      </c>
      <c r="B13" s="5" t="s">
        <v>232</v>
      </c>
      <c r="C13" s="5" t="s">
        <v>233</v>
      </c>
      <c r="D13" s="5" t="s">
        <v>41</v>
      </c>
      <c r="E13" s="5" t="s">
        <v>218</v>
      </c>
      <c r="F13" s="5" t="s">
        <v>170</v>
      </c>
      <c r="G13" s="5" t="s">
        <v>234</v>
      </c>
      <c r="H13" s="5" t="s">
        <v>235</v>
      </c>
      <c r="I13" s="5" t="s">
        <v>236</v>
      </c>
      <c r="J13" s="5" t="s">
        <v>237</v>
      </c>
      <c r="K13" s="5" t="s">
        <v>238</v>
      </c>
    </row>
    <row r="14" spans="1:11" ht="79.5" customHeight="1" x14ac:dyDescent="0.2">
      <c r="A14" s="7" t="s">
        <v>239</v>
      </c>
      <c r="B14" s="7" t="s">
        <v>240</v>
      </c>
      <c r="C14" s="7" t="s">
        <v>241</v>
      </c>
      <c r="D14" s="7" t="s">
        <v>41</v>
      </c>
      <c r="E14" s="7" t="s">
        <v>169</v>
      </c>
      <c r="F14" s="7" t="s">
        <v>170</v>
      </c>
      <c r="G14" s="7" t="s">
        <v>242</v>
      </c>
      <c r="H14" s="7" t="s">
        <v>243</v>
      </c>
      <c r="I14" s="7" t="s">
        <v>244</v>
      </c>
      <c r="J14" s="7" t="s">
        <v>245</v>
      </c>
      <c r="K14" s="7" t="s">
        <v>246</v>
      </c>
    </row>
    <row r="15" spans="1:11" ht="79.5" customHeight="1" x14ac:dyDescent="0.2">
      <c r="A15" s="5" t="s">
        <v>247</v>
      </c>
      <c r="B15" s="5" t="s">
        <v>248</v>
      </c>
      <c r="C15" s="5" t="s">
        <v>249</v>
      </c>
      <c r="D15" s="5" t="s">
        <v>41</v>
      </c>
      <c r="E15" s="5" t="s">
        <v>169</v>
      </c>
      <c r="F15" s="5" t="s">
        <v>170</v>
      </c>
      <c r="G15" s="5" t="s">
        <v>242</v>
      </c>
      <c r="H15" s="5" t="s">
        <v>250</v>
      </c>
      <c r="I15" s="5" t="s">
        <v>244</v>
      </c>
      <c r="J15" s="5" t="s">
        <v>251</v>
      </c>
      <c r="K15" s="5" t="s">
        <v>252</v>
      </c>
    </row>
    <row r="16" spans="1:11" ht="79.5" customHeight="1" x14ac:dyDescent="0.2">
      <c r="A16" s="7" t="s">
        <v>253</v>
      </c>
      <c r="B16" s="7" t="s">
        <v>254</v>
      </c>
      <c r="C16" s="7" t="s">
        <v>255</v>
      </c>
      <c r="D16" s="7" t="s">
        <v>41</v>
      </c>
      <c r="E16" s="7" t="s">
        <v>218</v>
      </c>
      <c r="F16" s="7" t="s">
        <v>170</v>
      </c>
      <c r="G16" s="7" t="s">
        <v>242</v>
      </c>
      <c r="H16" s="7" t="s">
        <v>256</v>
      </c>
      <c r="I16" s="7" t="s">
        <v>257</v>
      </c>
      <c r="J16" s="7" t="s">
        <v>258</v>
      </c>
      <c r="K16" s="7" t="s">
        <v>259</v>
      </c>
    </row>
    <row r="17" spans="1:11" ht="79.5" customHeight="1" x14ac:dyDescent="0.2">
      <c r="A17" s="5" t="s">
        <v>260</v>
      </c>
      <c r="B17" s="5" t="s">
        <v>261</v>
      </c>
      <c r="C17" s="5" t="s">
        <v>262</v>
      </c>
      <c r="D17" s="5" t="s">
        <v>41</v>
      </c>
      <c r="E17" s="5" t="s">
        <v>169</v>
      </c>
      <c r="F17" s="5" t="s">
        <v>170</v>
      </c>
      <c r="G17" s="5" t="s">
        <v>242</v>
      </c>
      <c r="H17" s="5" t="s">
        <v>263</v>
      </c>
      <c r="I17" s="5" t="s">
        <v>244</v>
      </c>
      <c r="J17" s="5" t="s">
        <v>264</v>
      </c>
      <c r="K17" s="5" t="s">
        <v>265</v>
      </c>
    </row>
    <row r="18" spans="1:11" ht="79.5" customHeight="1" x14ac:dyDescent="0.2">
      <c r="A18" s="7" t="s">
        <v>266</v>
      </c>
      <c r="B18" s="7" t="s">
        <v>267</v>
      </c>
      <c r="C18" s="7" t="s">
        <v>268</v>
      </c>
      <c r="D18" s="7" t="s">
        <v>41</v>
      </c>
      <c r="E18" s="7" t="s">
        <v>169</v>
      </c>
      <c r="F18" s="7" t="s">
        <v>170</v>
      </c>
      <c r="G18" s="7" t="s">
        <v>242</v>
      </c>
      <c r="H18" s="7" t="s">
        <v>269</v>
      </c>
      <c r="I18" s="7" t="s">
        <v>244</v>
      </c>
      <c r="J18" s="7" t="s">
        <v>270</v>
      </c>
      <c r="K18" s="7" t="s">
        <v>271</v>
      </c>
    </row>
    <row r="19" spans="1:11" ht="79.5" customHeight="1" x14ac:dyDescent="0.2">
      <c r="A19" s="5" t="s">
        <v>272</v>
      </c>
      <c r="B19" s="5" t="s">
        <v>273</v>
      </c>
      <c r="C19" s="5" t="s">
        <v>274</v>
      </c>
      <c r="D19" s="5" t="s">
        <v>275</v>
      </c>
      <c r="E19" s="5" t="s">
        <v>169</v>
      </c>
      <c r="F19" s="5" t="s">
        <v>276</v>
      </c>
      <c r="G19" s="5" t="s">
        <v>277</v>
      </c>
      <c r="H19" s="5" t="s">
        <v>278</v>
      </c>
      <c r="I19" s="5" t="s">
        <v>279</v>
      </c>
      <c r="J19" s="5" t="s">
        <v>280</v>
      </c>
      <c r="K19" s="5" t="s">
        <v>281</v>
      </c>
    </row>
    <row r="20" spans="1:11" ht="79.5" customHeight="1" x14ac:dyDescent="0.2">
      <c r="A20" s="7" t="s">
        <v>282</v>
      </c>
      <c r="B20" s="7" t="s">
        <v>283</v>
      </c>
      <c r="C20" s="7" t="s">
        <v>284</v>
      </c>
      <c r="D20" s="7" t="s">
        <v>285</v>
      </c>
      <c r="E20" s="7" t="s">
        <v>169</v>
      </c>
      <c r="F20" s="7" t="s">
        <v>276</v>
      </c>
      <c r="G20" s="7" t="s">
        <v>277</v>
      </c>
      <c r="H20" s="7" t="s">
        <v>286</v>
      </c>
      <c r="I20" s="7" t="s">
        <v>287</v>
      </c>
      <c r="J20" s="7" t="s">
        <v>288</v>
      </c>
      <c r="K20" s="7" t="s">
        <v>289</v>
      </c>
    </row>
    <row r="21" spans="1:11" ht="79.5" customHeight="1" x14ac:dyDescent="0.2">
      <c r="A21" s="5" t="s">
        <v>290</v>
      </c>
      <c r="B21" s="5" t="s">
        <v>291</v>
      </c>
      <c r="C21" s="5" t="s">
        <v>292</v>
      </c>
      <c r="D21" s="5" t="s">
        <v>293</v>
      </c>
      <c r="E21" s="5" t="s">
        <v>169</v>
      </c>
      <c r="F21" s="5" t="s">
        <v>276</v>
      </c>
      <c r="G21" s="5" t="s">
        <v>277</v>
      </c>
      <c r="H21" s="5" t="s">
        <v>294</v>
      </c>
      <c r="I21" s="5" t="s">
        <v>295</v>
      </c>
      <c r="J21" s="5" t="s">
        <v>296</v>
      </c>
      <c r="K21" s="5" t="s">
        <v>297</v>
      </c>
    </row>
    <row r="22" spans="1:11" ht="79.5" customHeight="1" x14ac:dyDescent="0.2">
      <c r="A22" s="7" t="s">
        <v>298</v>
      </c>
      <c r="B22" s="7" t="s">
        <v>299</v>
      </c>
      <c r="C22" s="7" t="s">
        <v>300</v>
      </c>
      <c r="D22" s="7" t="s">
        <v>301</v>
      </c>
      <c r="E22" s="7" t="s">
        <v>169</v>
      </c>
      <c r="F22" s="7" t="s">
        <v>276</v>
      </c>
      <c r="G22" s="7" t="s">
        <v>277</v>
      </c>
      <c r="H22" s="7" t="s">
        <v>302</v>
      </c>
      <c r="I22" s="7" t="s">
        <v>303</v>
      </c>
      <c r="J22" s="7" t="s">
        <v>304</v>
      </c>
      <c r="K22" s="7" t="s">
        <v>305</v>
      </c>
    </row>
    <row r="23" spans="1:11" ht="79.5" customHeight="1" x14ac:dyDescent="0.2">
      <c r="A23" s="5" t="s">
        <v>306</v>
      </c>
      <c r="B23" s="5" t="s">
        <v>307</v>
      </c>
      <c r="C23" s="5" t="s">
        <v>308</v>
      </c>
      <c r="D23" s="5" t="s">
        <v>309</v>
      </c>
      <c r="E23" s="5" t="s">
        <v>169</v>
      </c>
      <c r="F23" s="5" t="s">
        <v>276</v>
      </c>
      <c r="G23" s="5" t="s">
        <v>277</v>
      </c>
      <c r="H23" s="5" t="s">
        <v>310</v>
      </c>
      <c r="I23" s="5" t="s">
        <v>311</v>
      </c>
      <c r="J23" s="5" t="s">
        <v>312</v>
      </c>
      <c r="K23" s="5" t="s">
        <v>313</v>
      </c>
    </row>
    <row r="24" spans="1:11" ht="79.5" customHeight="1" x14ac:dyDescent="0.2">
      <c r="A24" s="7" t="s">
        <v>314</v>
      </c>
      <c r="B24" s="7" t="s">
        <v>315</v>
      </c>
      <c r="C24" s="7" t="s">
        <v>316</v>
      </c>
      <c r="D24" s="7" t="s">
        <v>317</v>
      </c>
      <c r="E24" s="7" t="s">
        <v>169</v>
      </c>
      <c r="F24" s="7" t="s">
        <v>276</v>
      </c>
      <c r="G24" s="7" t="s">
        <v>277</v>
      </c>
      <c r="H24" s="7" t="s">
        <v>318</v>
      </c>
      <c r="I24" s="7" t="s">
        <v>319</v>
      </c>
      <c r="J24" s="7" t="s">
        <v>320</v>
      </c>
      <c r="K24" s="14" t="s">
        <v>321</v>
      </c>
    </row>
    <row r="25" spans="1:11" ht="79.5" customHeight="1" x14ac:dyDescent="0.2">
      <c r="A25" s="5" t="s">
        <v>322</v>
      </c>
      <c r="B25" s="5" t="s">
        <v>323</v>
      </c>
      <c r="C25" s="5" t="s">
        <v>324</v>
      </c>
      <c r="D25" s="5" t="s">
        <v>325</v>
      </c>
      <c r="E25" s="5" t="s">
        <v>169</v>
      </c>
      <c r="F25" s="5" t="s">
        <v>276</v>
      </c>
      <c r="G25" s="5" t="s">
        <v>277</v>
      </c>
      <c r="H25" s="5" t="s">
        <v>326</v>
      </c>
      <c r="I25" s="5" t="s">
        <v>327</v>
      </c>
      <c r="J25" s="5" t="s">
        <v>328</v>
      </c>
      <c r="K25" s="5" t="s">
        <v>329</v>
      </c>
    </row>
    <row r="26" spans="1:11" ht="79.5" customHeight="1" x14ac:dyDescent="0.2">
      <c r="A26" s="7" t="s">
        <v>330</v>
      </c>
      <c r="B26" s="7" t="s">
        <v>331</v>
      </c>
      <c r="C26" s="7" t="s">
        <v>332</v>
      </c>
      <c r="D26" s="7" t="s">
        <v>333</v>
      </c>
      <c r="E26" s="7" t="s">
        <v>169</v>
      </c>
      <c r="F26" s="7" t="s">
        <v>276</v>
      </c>
      <c r="G26" s="7" t="s">
        <v>334</v>
      </c>
      <c r="H26" s="7" t="s">
        <v>335</v>
      </c>
      <c r="I26" s="7" t="s">
        <v>336</v>
      </c>
      <c r="J26" s="7" t="s">
        <v>337</v>
      </c>
      <c r="K26" s="7" t="s">
        <v>338</v>
      </c>
    </row>
    <row r="27" spans="1:11" ht="79.5" customHeight="1" x14ac:dyDescent="0.2">
      <c r="A27" s="5" t="s">
        <v>339</v>
      </c>
      <c r="B27" s="5" t="s">
        <v>340</v>
      </c>
      <c r="C27" s="5" t="s">
        <v>341</v>
      </c>
      <c r="D27" s="5" t="s">
        <v>342</v>
      </c>
      <c r="E27" s="5" t="s">
        <v>169</v>
      </c>
      <c r="F27" s="5" t="s">
        <v>276</v>
      </c>
      <c r="G27" s="5" t="s">
        <v>334</v>
      </c>
      <c r="H27" s="5" t="s">
        <v>343</v>
      </c>
      <c r="I27" s="5" t="s">
        <v>344</v>
      </c>
      <c r="J27" s="5" t="s">
        <v>345</v>
      </c>
      <c r="K27" s="5" t="s">
        <v>346</v>
      </c>
    </row>
    <row r="28" spans="1:11" ht="79.5" customHeight="1" x14ac:dyDescent="0.2">
      <c r="A28" s="7" t="s">
        <v>347</v>
      </c>
      <c r="B28" s="13" t="s">
        <v>348</v>
      </c>
      <c r="C28" s="7" t="s">
        <v>349</v>
      </c>
      <c r="D28" s="7" t="s">
        <v>350</v>
      </c>
      <c r="E28" s="7" t="s">
        <v>169</v>
      </c>
      <c r="F28" s="7" t="s">
        <v>276</v>
      </c>
      <c r="G28" s="7" t="s">
        <v>334</v>
      </c>
      <c r="H28" s="7" t="s">
        <v>351</v>
      </c>
      <c r="I28" s="7" t="s">
        <v>352</v>
      </c>
      <c r="J28" s="7" t="s">
        <v>353</v>
      </c>
      <c r="K28" s="7" t="s">
        <v>354</v>
      </c>
    </row>
    <row r="29" spans="1:11" ht="79.5" customHeight="1" x14ac:dyDescent="0.2">
      <c r="A29" s="5" t="s">
        <v>355</v>
      </c>
      <c r="B29" s="5" t="s">
        <v>356</v>
      </c>
      <c r="C29" s="5" t="s">
        <v>357</v>
      </c>
      <c r="D29" s="5" t="s">
        <v>350</v>
      </c>
      <c r="E29" s="5" t="s">
        <v>358</v>
      </c>
      <c r="F29" s="5" t="s">
        <v>95</v>
      </c>
      <c r="G29" s="5" t="s">
        <v>359</v>
      </c>
      <c r="H29" s="5" t="s">
        <v>360</v>
      </c>
      <c r="I29" s="5" t="s">
        <v>361</v>
      </c>
      <c r="J29" s="5" t="s">
        <v>362</v>
      </c>
      <c r="K29" s="5" t="s">
        <v>62</v>
      </c>
    </row>
    <row r="30" spans="1:11" ht="79.5" customHeight="1" x14ac:dyDescent="0.2">
      <c r="A30" s="7" t="s">
        <v>363</v>
      </c>
      <c r="B30" s="7" t="s">
        <v>364</v>
      </c>
      <c r="C30" s="7" t="s">
        <v>357</v>
      </c>
      <c r="D30" s="7" t="s">
        <v>350</v>
      </c>
      <c r="E30" s="7" t="s">
        <v>358</v>
      </c>
      <c r="F30" s="7" t="s">
        <v>95</v>
      </c>
      <c r="G30" s="7" t="s">
        <v>359</v>
      </c>
      <c r="H30" s="7" t="s">
        <v>365</v>
      </c>
      <c r="I30" s="7" t="s">
        <v>366</v>
      </c>
      <c r="J30" s="7" t="s">
        <v>367</v>
      </c>
      <c r="K30" s="7" t="s">
        <v>368</v>
      </c>
    </row>
    <row r="31" spans="1:11" ht="79.5" customHeight="1" x14ac:dyDescent="0.2">
      <c r="A31" s="5" t="s">
        <v>369</v>
      </c>
      <c r="B31" s="5" t="s">
        <v>370</v>
      </c>
      <c r="C31" s="5" t="s">
        <v>371</v>
      </c>
      <c r="D31" s="5" t="s">
        <v>372</v>
      </c>
      <c r="E31" s="5" t="s">
        <v>358</v>
      </c>
      <c r="F31" s="5" t="s">
        <v>95</v>
      </c>
      <c r="G31" s="5" t="s">
        <v>359</v>
      </c>
      <c r="H31" s="5" t="s">
        <v>373</v>
      </c>
      <c r="I31" s="5" t="s">
        <v>374</v>
      </c>
      <c r="J31" s="5" t="s">
        <v>375</v>
      </c>
      <c r="K31" s="5" t="s">
        <v>376</v>
      </c>
    </row>
    <row r="32" spans="1:11" ht="79.5" customHeight="1" x14ac:dyDescent="0.2">
      <c r="A32" s="7" t="s">
        <v>377</v>
      </c>
      <c r="B32" s="7" t="s">
        <v>378</v>
      </c>
      <c r="C32" s="7" t="s">
        <v>371</v>
      </c>
      <c r="D32" s="7" t="s">
        <v>372</v>
      </c>
      <c r="E32" s="7" t="s">
        <v>358</v>
      </c>
      <c r="F32" s="7" t="s">
        <v>95</v>
      </c>
      <c r="G32" s="7" t="s">
        <v>359</v>
      </c>
      <c r="H32" s="7" t="s">
        <v>379</v>
      </c>
      <c r="I32" s="7" t="s">
        <v>380</v>
      </c>
      <c r="J32" s="7" t="s">
        <v>381</v>
      </c>
      <c r="K32" s="7" t="s">
        <v>382</v>
      </c>
    </row>
    <row r="33" spans="1:11" ht="79.5" customHeight="1" x14ac:dyDescent="0.2">
      <c r="A33" s="5" t="s">
        <v>383</v>
      </c>
      <c r="B33" s="5" t="s">
        <v>384</v>
      </c>
      <c r="C33" s="5" t="s">
        <v>385</v>
      </c>
      <c r="D33" s="5" t="s">
        <v>386</v>
      </c>
      <c r="E33" s="5" t="s">
        <v>358</v>
      </c>
      <c r="F33" s="5" t="s">
        <v>95</v>
      </c>
      <c r="G33" s="5" t="s">
        <v>359</v>
      </c>
      <c r="H33" s="5" t="s">
        <v>387</v>
      </c>
      <c r="I33" s="5" t="s">
        <v>388</v>
      </c>
      <c r="J33" s="5" t="s">
        <v>389</v>
      </c>
      <c r="K33" s="5" t="s">
        <v>390</v>
      </c>
    </row>
    <row r="34" spans="1:11" ht="79.5" customHeight="1" x14ac:dyDescent="0.2">
      <c r="A34" s="7" t="s">
        <v>391</v>
      </c>
      <c r="B34" s="7" t="s">
        <v>392</v>
      </c>
      <c r="C34" s="7" t="s">
        <v>393</v>
      </c>
      <c r="D34" s="7" t="s">
        <v>372</v>
      </c>
      <c r="E34" s="7" t="s">
        <v>358</v>
      </c>
      <c r="F34" s="7" t="s">
        <v>95</v>
      </c>
      <c r="G34" s="7" t="s">
        <v>359</v>
      </c>
      <c r="H34" s="7" t="s">
        <v>394</v>
      </c>
      <c r="I34" s="7" t="s">
        <v>395</v>
      </c>
      <c r="J34" s="7" t="s">
        <v>396</v>
      </c>
      <c r="K34" s="7" t="s">
        <v>397</v>
      </c>
    </row>
  </sheetData>
  <mergeCells count="2">
    <mergeCell ref="A1:K1"/>
    <mergeCell ref="A2:K2"/>
  </mergeCells>
  <hyperlinks>
    <hyperlink ref="K24" r:id="rId1" xr:uid="{D98911B9-14B8-4F46-8858-42512F0779FE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5"/>
  <sheetViews>
    <sheetView zoomScaleNormal="100" workbookViewId="0">
      <pane xSplit="1" ySplit="4" topLeftCell="B6" activePane="bottomRight" state="frozen"/>
      <selection pane="topRight" activeCell="B1" sqref="B1"/>
      <selection pane="bottomLeft" activeCell="A5" sqref="A5"/>
      <selection pane="bottomRight" activeCell="A18" sqref="A18"/>
    </sheetView>
  </sheetViews>
  <sheetFormatPr baseColWidth="10" defaultColWidth="8.6640625" defaultRowHeight="15" x14ac:dyDescent="0.2"/>
  <cols>
    <col min="1" max="1" width="9" customWidth="1"/>
    <col min="2" max="21" width="18" customWidth="1"/>
  </cols>
  <sheetData>
    <row r="1" spans="1:21" ht="27.75" customHeight="1" x14ac:dyDescent="0.2">
      <c r="A1" s="2" t="s">
        <v>398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21" ht="15" customHeight="1" x14ac:dyDescent="0.2">
      <c r="A2" s="1" t="s">
        <v>399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1:21" ht="36" customHeight="1" x14ac:dyDescent="0.2">
      <c r="A4" s="4" t="s">
        <v>158</v>
      </c>
      <c r="B4" s="4" t="s">
        <v>400</v>
      </c>
      <c r="C4" s="4" t="s">
        <v>401</v>
      </c>
      <c r="D4" s="4" t="s">
        <v>402</v>
      </c>
      <c r="E4" s="4" t="s">
        <v>403</v>
      </c>
      <c r="F4" s="4" t="s">
        <v>404</v>
      </c>
      <c r="G4" s="4" t="s">
        <v>405</v>
      </c>
      <c r="H4" s="4" t="s">
        <v>406</v>
      </c>
      <c r="I4" s="4" t="s">
        <v>407</v>
      </c>
      <c r="J4" s="4" t="s">
        <v>408</v>
      </c>
      <c r="K4" s="4" t="s">
        <v>409</v>
      </c>
      <c r="L4" s="4" t="s">
        <v>410</v>
      </c>
      <c r="M4" s="4" t="s">
        <v>411</v>
      </c>
      <c r="N4" s="4" t="s">
        <v>412</v>
      </c>
      <c r="O4" s="4" t="s">
        <v>413</v>
      </c>
      <c r="P4" s="4" t="s">
        <v>414</v>
      </c>
      <c r="Q4" s="4" t="s">
        <v>415</v>
      </c>
      <c r="R4" s="4" t="s">
        <v>416</v>
      </c>
      <c r="S4" s="4" t="s">
        <v>417</v>
      </c>
      <c r="T4" s="4" t="s">
        <v>418</v>
      </c>
      <c r="U4" s="4" t="s">
        <v>419</v>
      </c>
    </row>
    <row r="5" spans="1:21" ht="21.75" customHeight="1" x14ac:dyDescent="0.2">
      <c r="A5" s="8" t="s">
        <v>166</v>
      </c>
      <c r="B5" s="9" t="s">
        <v>420</v>
      </c>
      <c r="C5" s="9" t="s">
        <v>420</v>
      </c>
      <c r="D5" s="10" t="s">
        <v>421</v>
      </c>
      <c r="E5" s="11" t="s">
        <v>422</v>
      </c>
      <c r="F5" s="10" t="s">
        <v>421</v>
      </c>
      <c r="G5" s="10" t="s">
        <v>421</v>
      </c>
      <c r="H5" s="10" t="s">
        <v>421</v>
      </c>
      <c r="I5" s="9" t="s">
        <v>420</v>
      </c>
      <c r="J5" s="11" t="s">
        <v>422</v>
      </c>
      <c r="K5" s="11" t="s">
        <v>422</v>
      </c>
      <c r="L5" s="9" t="s">
        <v>420</v>
      </c>
      <c r="M5" s="10" t="s">
        <v>421</v>
      </c>
      <c r="N5" s="10" t="s">
        <v>421</v>
      </c>
      <c r="O5" s="11" t="s">
        <v>422</v>
      </c>
      <c r="P5" s="11" t="s">
        <v>422</v>
      </c>
      <c r="Q5" s="9" t="s">
        <v>420</v>
      </c>
      <c r="R5" s="9" t="s">
        <v>420</v>
      </c>
      <c r="S5" s="11" t="s">
        <v>422</v>
      </c>
      <c r="T5" s="11" t="s">
        <v>422</v>
      </c>
      <c r="U5" s="11" t="s">
        <v>422</v>
      </c>
    </row>
    <row r="6" spans="1:21" ht="21.75" customHeight="1" x14ac:dyDescent="0.2">
      <c r="A6" s="8" t="s">
        <v>176</v>
      </c>
      <c r="B6" s="9" t="s">
        <v>420</v>
      </c>
      <c r="C6" s="9" t="s">
        <v>420</v>
      </c>
      <c r="D6" s="9" t="s">
        <v>420</v>
      </c>
      <c r="E6" s="10" t="s">
        <v>421</v>
      </c>
      <c r="F6" s="9" t="s">
        <v>420</v>
      </c>
      <c r="G6" s="9" t="s">
        <v>420</v>
      </c>
      <c r="H6" s="11" t="s">
        <v>422</v>
      </c>
      <c r="I6" s="10" t="s">
        <v>421</v>
      </c>
      <c r="J6" s="11" t="s">
        <v>422</v>
      </c>
      <c r="K6" s="11" t="s">
        <v>422</v>
      </c>
      <c r="L6" s="9" t="s">
        <v>420</v>
      </c>
      <c r="M6" s="11" t="s">
        <v>422</v>
      </c>
      <c r="N6" s="9" t="s">
        <v>420</v>
      </c>
      <c r="O6" s="11" t="s">
        <v>422</v>
      </c>
      <c r="P6" s="11" t="s">
        <v>422</v>
      </c>
      <c r="Q6" s="9" t="s">
        <v>420</v>
      </c>
      <c r="R6" s="9" t="s">
        <v>420</v>
      </c>
      <c r="S6" s="11" t="s">
        <v>422</v>
      </c>
      <c r="T6" s="10" t="s">
        <v>421</v>
      </c>
      <c r="U6" s="11" t="s">
        <v>422</v>
      </c>
    </row>
    <row r="7" spans="1:21" ht="21.75" customHeight="1" x14ac:dyDescent="0.2">
      <c r="A7" s="8" t="s">
        <v>184</v>
      </c>
      <c r="B7" s="9" t="s">
        <v>420</v>
      </c>
      <c r="C7" s="11" t="s">
        <v>422</v>
      </c>
      <c r="D7" s="10" t="s">
        <v>421</v>
      </c>
      <c r="E7" s="11" t="s">
        <v>422</v>
      </c>
      <c r="F7" s="9" t="s">
        <v>420</v>
      </c>
      <c r="G7" s="9" t="s">
        <v>420</v>
      </c>
      <c r="H7" s="11" t="s">
        <v>422</v>
      </c>
      <c r="I7" s="9" t="s">
        <v>420</v>
      </c>
      <c r="J7" s="11" t="s">
        <v>422</v>
      </c>
      <c r="K7" s="11" t="s">
        <v>422</v>
      </c>
      <c r="L7" s="9" t="s">
        <v>420</v>
      </c>
      <c r="M7" s="11" t="s">
        <v>422</v>
      </c>
      <c r="N7" s="10" t="s">
        <v>421</v>
      </c>
      <c r="O7" s="11" t="s">
        <v>422</v>
      </c>
      <c r="P7" s="11" t="s">
        <v>422</v>
      </c>
      <c r="Q7" s="9" t="s">
        <v>420</v>
      </c>
      <c r="R7" s="9" t="s">
        <v>420</v>
      </c>
      <c r="S7" s="11" t="s">
        <v>422</v>
      </c>
      <c r="T7" s="11" t="s">
        <v>422</v>
      </c>
      <c r="U7" s="11" t="s">
        <v>422</v>
      </c>
    </row>
    <row r="8" spans="1:21" ht="21.75" customHeight="1" x14ac:dyDescent="0.2">
      <c r="A8" s="8" t="s">
        <v>191</v>
      </c>
      <c r="B8" s="10" t="s">
        <v>421</v>
      </c>
      <c r="C8" s="11" t="s">
        <v>422</v>
      </c>
      <c r="D8" s="9" t="s">
        <v>420</v>
      </c>
      <c r="E8" s="11" t="s">
        <v>422</v>
      </c>
      <c r="F8" s="11" t="s">
        <v>422</v>
      </c>
      <c r="G8" s="11" t="s">
        <v>422</v>
      </c>
      <c r="H8" s="11" t="s">
        <v>422</v>
      </c>
      <c r="I8" s="9" t="s">
        <v>420</v>
      </c>
      <c r="J8" s="10" t="s">
        <v>421</v>
      </c>
      <c r="K8" s="11" t="s">
        <v>422</v>
      </c>
      <c r="L8" s="9" t="s">
        <v>420</v>
      </c>
      <c r="M8" s="11" t="s">
        <v>422</v>
      </c>
      <c r="N8" s="11" t="s">
        <v>422</v>
      </c>
      <c r="O8" s="9" t="s">
        <v>420</v>
      </c>
      <c r="P8" s="11" t="s">
        <v>422</v>
      </c>
      <c r="Q8" s="9" t="s">
        <v>420</v>
      </c>
      <c r="R8" s="9" t="s">
        <v>420</v>
      </c>
      <c r="S8" s="11" t="s">
        <v>422</v>
      </c>
      <c r="T8" s="10" t="s">
        <v>421</v>
      </c>
      <c r="U8" s="9" t="s">
        <v>420</v>
      </c>
    </row>
    <row r="9" spans="1:21" ht="21.75" customHeight="1" x14ac:dyDescent="0.2">
      <c r="A9" s="8" t="s">
        <v>199</v>
      </c>
      <c r="B9" s="9" t="s">
        <v>420</v>
      </c>
      <c r="C9" s="9" t="s">
        <v>420</v>
      </c>
      <c r="D9" s="9" t="s">
        <v>420</v>
      </c>
      <c r="E9" s="11" t="s">
        <v>422</v>
      </c>
      <c r="F9" s="9" t="s">
        <v>420</v>
      </c>
      <c r="G9" s="9" t="s">
        <v>420</v>
      </c>
      <c r="H9" s="9" t="s">
        <v>420</v>
      </c>
      <c r="I9" s="9" t="s">
        <v>420</v>
      </c>
      <c r="J9" s="10" t="s">
        <v>421</v>
      </c>
      <c r="K9" s="11" t="s">
        <v>422</v>
      </c>
      <c r="L9" s="9" t="s">
        <v>420</v>
      </c>
      <c r="M9" s="9" t="s">
        <v>420</v>
      </c>
      <c r="N9" s="9" t="s">
        <v>420</v>
      </c>
      <c r="O9" s="10" t="s">
        <v>421</v>
      </c>
      <c r="P9" s="11" t="s">
        <v>422</v>
      </c>
      <c r="Q9" s="9" t="s">
        <v>420</v>
      </c>
      <c r="R9" s="9" t="s">
        <v>420</v>
      </c>
      <c r="S9" s="11" t="s">
        <v>422</v>
      </c>
      <c r="T9" s="10" t="s">
        <v>421</v>
      </c>
      <c r="U9" s="10" t="s">
        <v>421</v>
      </c>
    </row>
    <row r="10" spans="1:21" ht="21.75" customHeight="1" x14ac:dyDescent="0.2">
      <c r="A10" s="8" t="s">
        <v>207</v>
      </c>
      <c r="B10" s="9" t="s">
        <v>420</v>
      </c>
      <c r="C10" s="9" t="s">
        <v>420</v>
      </c>
      <c r="D10" s="10" t="s">
        <v>421</v>
      </c>
      <c r="E10" s="11" t="s">
        <v>422</v>
      </c>
      <c r="F10" s="10" t="s">
        <v>421</v>
      </c>
      <c r="G10" s="9" t="s">
        <v>420</v>
      </c>
      <c r="H10" s="9" t="s">
        <v>420</v>
      </c>
      <c r="I10" s="9" t="s">
        <v>420</v>
      </c>
      <c r="J10" s="11" t="s">
        <v>422</v>
      </c>
      <c r="K10" s="11" t="s">
        <v>422</v>
      </c>
      <c r="L10" s="9" t="s">
        <v>420</v>
      </c>
      <c r="M10" s="10" t="s">
        <v>421</v>
      </c>
      <c r="N10" s="9" t="s">
        <v>420</v>
      </c>
      <c r="O10" s="11" t="s">
        <v>422</v>
      </c>
      <c r="P10" s="11" t="s">
        <v>422</v>
      </c>
      <c r="Q10" s="9" t="s">
        <v>420</v>
      </c>
      <c r="R10" s="9" t="s">
        <v>420</v>
      </c>
      <c r="S10" s="11" t="s">
        <v>422</v>
      </c>
      <c r="T10" s="11" t="s">
        <v>422</v>
      </c>
      <c r="U10" s="11" t="s">
        <v>422</v>
      </c>
    </row>
    <row r="11" spans="1:21" ht="21.75" customHeight="1" x14ac:dyDescent="0.2">
      <c r="A11" s="8" t="s">
        <v>215</v>
      </c>
      <c r="B11" s="9" t="s">
        <v>420</v>
      </c>
      <c r="C11" s="9" t="s">
        <v>420</v>
      </c>
      <c r="D11" s="10" t="s">
        <v>421</v>
      </c>
      <c r="E11" s="11" t="s">
        <v>422</v>
      </c>
      <c r="F11" s="9" t="s">
        <v>420</v>
      </c>
      <c r="G11" s="9" t="s">
        <v>420</v>
      </c>
      <c r="H11" s="10" t="s">
        <v>421</v>
      </c>
      <c r="I11" s="9" t="s">
        <v>420</v>
      </c>
      <c r="J11" s="11" t="s">
        <v>422</v>
      </c>
      <c r="K11" s="11" t="s">
        <v>422</v>
      </c>
      <c r="L11" s="9" t="s">
        <v>420</v>
      </c>
      <c r="M11" s="9" t="s">
        <v>420</v>
      </c>
      <c r="N11" s="9" t="s">
        <v>420</v>
      </c>
      <c r="O11" s="11" t="s">
        <v>422</v>
      </c>
      <c r="P11" s="11" t="s">
        <v>422</v>
      </c>
      <c r="Q11" s="9" t="s">
        <v>420</v>
      </c>
      <c r="R11" s="9" t="s">
        <v>420</v>
      </c>
      <c r="S11" s="10" t="s">
        <v>421</v>
      </c>
      <c r="T11" s="11" t="s">
        <v>422</v>
      </c>
      <c r="U11" s="11" t="s">
        <v>422</v>
      </c>
    </row>
    <row r="12" spans="1:21" ht="21.75" customHeight="1" x14ac:dyDescent="0.2">
      <c r="A12" s="8" t="s">
        <v>224</v>
      </c>
      <c r="B12" s="10" t="s">
        <v>421</v>
      </c>
      <c r="C12" s="9" t="s">
        <v>420</v>
      </c>
      <c r="D12" s="9" t="s">
        <v>420</v>
      </c>
      <c r="E12" s="11" t="s">
        <v>422</v>
      </c>
      <c r="F12" s="11" t="s">
        <v>422</v>
      </c>
      <c r="G12" s="9" t="s">
        <v>420</v>
      </c>
      <c r="H12" s="9" t="s">
        <v>420</v>
      </c>
      <c r="I12" s="9" t="s">
        <v>420</v>
      </c>
      <c r="J12" s="11" t="s">
        <v>422</v>
      </c>
      <c r="K12" s="11" t="s">
        <v>422</v>
      </c>
      <c r="L12" s="9" t="s">
        <v>420</v>
      </c>
      <c r="M12" s="10" t="s">
        <v>421</v>
      </c>
      <c r="N12" s="11" t="s">
        <v>422</v>
      </c>
      <c r="O12" s="11" t="s">
        <v>422</v>
      </c>
      <c r="P12" s="11" t="s">
        <v>422</v>
      </c>
      <c r="Q12" s="10" t="s">
        <v>421</v>
      </c>
      <c r="R12" s="10" t="s">
        <v>421</v>
      </c>
      <c r="S12" s="10" t="s">
        <v>421</v>
      </c>
      <c r="T12" s="11" t="s">
        <v>422</v>
      </c>
      <c r="U12" s="9" t="s">
        <v>420</v>
      </c>
    </row>
    <row r="13" spans="1:21" ht="21.75" customHeight="1" x14ac:dyDescent="0.2">
      <c r="A13" s="8" t="s">
        <v>231</v>
      </c>
      <c r="B13" s="9" t="s">
        <v>420</v>
      </c>
      <c r="C13" s="9" t="s">
        <v>420</v>
      </c>
      <c r="D13" s="9" t="s">
        <v>420</v>
      </c>
      <c r="E13" s="11" t="s">
        <v>422</v>
      </c>
      <c r="F13" s="9" t="s">
        <v>420</v>
      </c>
      <c r="G13" s="10" t="s">
        <v>421</v>
      </c>
      <c r="H13" s="10" t="s">
        <v>421</v>
      </c>
      <c r="I13" s="9" t="s">
        <v>420</v>
      </c>
      <c r="J13" s="11" t="s">
        <v>422</v>
      </c>
      <c r="K13" s="11" t="s">
        <v>422</v>
      </c>
      <c r="L13" s="9" t="s">
        <v>420</v>
      </c>
      <c r="M13" s="9" t="s">
        <v>420</v>
      </c>
      <c r="N13" s="9" t="s">
        <v>420</v>
      </c>
      <c r="O13" s="11" t="s">
        <v>422</v>
      </c>
      <c r="P13" s="11" t="s">
        <v>422</v>
      </c>
      <c r="Q13" s="9" t="s">
        <v>420</v>
      </c>
      <c r="R13" s="9" t="s">
        <v>420</v>
      </c>
      <c r="S13" s="11" t="s">
        <v>422</v>
      </c>
      <c r="T13" s="11" t="s">
        <v>422</v>
      </c>
      <c r="U13" s="11" t="s">
        <v>422</v>
      </c>
    </row>
    <row r="14" spans="1:21" ht="21.75" customHeight="1" x14ac:dyDescent="0.2">
      <c r="A14" s="8" t="s">
        <v>239</v>
      </c>
      <c r="B14" s="9" t="s">
        <v>420</v>
      </c>
      <c r="C14" s="10" t="s">
        <v>421</v>
      </c>
      <c r="D14" s="11" t="s">
        <v>422</v>
      </c>
      <c r="E14" s="11" t="s">
        <v>422</v>
      </c>
      <c r="F14" s="9" t="s">
        <v>420</v>
      </c>
      <c r="G14" s="10" t="s">
        <v>421</v>
      </c>
      <c r="H14" s="10" t="s">
        <v>421</v>
      </c>
      <c r="I14" s="9" t="s">
        <v>420</v>
      </c>
      <c r="J14" s="11" t="s">
        <v>422</v>
      </c>
      <c r="K14" s="11" t="s">
        <v>422</v>
      </c>
      <c r="L14" s="9" t="s">
        <v>420</v>
      </c>
      <c r="M14" s="9" t="s">
        <v>420</v>
      </c>
      <c r="N14" s="9" t="s">
        <v>420</v>
      </c>
      <c r="O14" s="11" t="s">
        <v>422</v>
      </c>
      <c r="P14" s="11" t="s">
        <v>422</v>
      </c>
      <c r="Q14" s="9" t="s">
        <v>420</v>
      </c>
      <c r="R14" s="9" t="s">
        <v>420</v>
      </c>
      <c r="S14" s="11" t="s">
        <v>422</v>
      </c>
      <c r="T14" s="11" t="s">
        <v>422</v>
      </c>
      <c r="U14" s="11" t="s">
        <v>422</v>
      </c>
    </row>
    <row r="15" spans="1:21" ht="21.75" customHeight="1" x14ac:dyDescent="0.2">
      <c r="A15" s="8" t="s">
        <v>247</v>
      </c>
      <c r="B15" s="11" t="s">
        <v>422</v>
      </c>
      <c r="C15" s="10" t="s">
        <v>421</v>
      </c>
      <c r="D15" s="11" t="s">
        <v>422</v>
      </c>
      <c r="E15" s="11" t="s">
        <v>422</v>
      </c>
      <c r="F15" s="11" t="s">
        <v>422</v>
      </c>
      <c r="G15" s="9" t="s">
        <v>420</v>
      </c>
      <c r="H15" s="10" t="s">
        <v>421</v>
      </c>
      <c r="I15" s="9" t="s">
        <v>420</v>
      </c>
      <c r="J15" s="11" t="s">
        <v>422</v>
      </c>
      <c r="K15" s="11" t="s">
        <v>422</v>
      </c>
      <c r="L15" s="9" t="s">
        <v>420</v>
      </c>
      <c r="M15" s="10" t="s">
        <v>421</v>
      </c>
      <c r="N15" s="11" t="s">
        <v>422</v>
      </c>
      <c r="O15" s="11" t="s">
        <v>422</v>
      </c>
      <c r="P15" s="11" t="s">
        <v>422</v>
      </c>
      <c r="Q15" s="10" t="s">
        <v>421</v>
      </c>
      <c r="R15" s="9" t="s">
        <v>420</v>
      </c>
      <c r="S15" s="11" t="s">
        <v>422</v>
      </c>
      <c r="T15" s="11" t="s">
        <v>422</v>
      </c>
      <c r="U15" s="11" t="s">
        <v>422</v>
      </c>
    </row>
    <row r="16" spans="1:21" ht="21.75" customHeight="1" x14ac:dyDescent="0.2">
      <c r="A16" s="8" t="s">
        <v>253</v>
      </c>
      <c r="B16" s="11" t="s">
        <v>422</v>
      </c>
      <c r="C16" s="10" t="s">
        <v>421</v>
      </c>
      <c r="D16" s="11" t="s">
        <v>422</v>
      </c>
      <c r="E16" s="11" t="s">
        <v>422</v>
      </c>
      <c r="F16" s="11" t="s">
        <v>422</v>
      </c>
      <c r="G16" s="9" t="s">
        <v>420</v>
      </c>
      <c r="H16" s="10" t="s">
        <v>421</v>
      </c>
      <c r="I16" s="9" t="s">
        <v>420</v>
      </c>
      <c r="J16" s="11" t="s">
        <v>422</v>
      </c>
      <c r="K16" s="11" t="s">
        <v>422</v>
      </c>
      <c r="L16" s="9" t="s">
        <v>420</v>
      </c>
      <c r="M16" s="10" t="s">
        <v>421</v>
      </c>
      <c r="N16" s="10" t="s">
        <v>421</v>
      </c>
      <c r="O16" s="11" t="s">
        <v>422</v>
      </c>
      <c r="P16" s="11" t="s">
        <v>422</v>
      </c>
      <c r="Q16" s="10" t="s">
        <v>421</v>
      </c>
      <c r="R16" s="9" t="s">
        <v>420</v>
      </c>
      <c r="S16" s="11" t="s">
        <v>422</v>
      </c>
      <c r="T16" s="11" t="s">
        <v>422</v>
      </c>
      <c r="U16" s="11" t="s">
        <v>422</v>
      </c>
    </row>
    <row r="17" spans="1:21" ht="21.75" customHeight="1" x14ac:dyDescent="0.2">
      <c r="A17" s="8" t="s">
        <v>260</v>
      </c>
      <c r="B17" s="10" t="s">
        <v>421</v>
      </c>
      <c r="C17" s="9" t="s">
        <v>420</v>
      </c>
      <c r="D17" s="11" t="s">
        <v>422</v>
      </c>
      <c r="E17" s="11" t="s">
        <v>422</v>
      </c>
      <c r="F17" s="11" t="s">
        <v>422</v>
      </c>
      <c r="G17" s="9" t="s">
        <v>420</v>
      </c>
      <c r="H17" s="10" t="s">
        <v>421</v>
      </c>
      <c r="I17" s="9" t="s">
        <v>420</v>
      </c>
      <c r="J17" s="11" t="s">
        <v>422</v>
      </c>
      <c r="K17" s="11" t="s">
        <v>422</v>
      </c>
      <c r="L17" s="9" t="s">
        <v>420</v>
      </c>
      <c r="M17" s="10" t="s">
        <v>421</v>
      </c>
      <c r="N17" s="11" t="s">
        <v>422</v>
      </c>
      <c r="O17" s="11" t="s">
        <v>422</v>
      </c>
      <c r="P17" s="11" t="s">
        <v>422</v>
      </c>
      <c r="Q17" s="10" t="s">
        <v>421</v>
      </c>
      <c r="R17" s="9" t="s">
        <v>420</v>
      </c>
      <c r="S17" s="11" t="s">
        <v>422</v>
      </c>
      <c r="T17" s="11" t="s">
        <v>422</v>
      </c>
      <c r="U17" s="11" t="s">
        <v>422</v>
      </c>
    </row>
    <row r="18" spans="1:21" ht="21.75" customHeight="1" x14ac:dyDescent="0.2">
      <c r="A18" s="8" t="s">
        <v>266</v>
      </c>
      <c r="B18" s="11" t="s">
        <v>422</v>
      </c>
      <c r="C18" s="11" t="s">
        <v>422</v>
      </c>
      <c r="D18" s="11" t="s">
        <v>422</v>
      </c>
      <c r="E18" s="11" t="s">
        <v>422</v>
      </c>
      <c r="F18" s="11" t="s">
        <v>422</v>
      </c>
      <c r="G18" s="9" t="s">
        <v>420</v>
      </c>
      <c r="H18" s="10" t="s">
        <v>421</v>
      </c>
      <c r="I18" s="9" t="s">
        <v>420</v>
      </c>
      <c r="J18" s="11" t="s">
        <v>422</v>
      </c>
      <c r="K18" s="11" t="s">
        <v>422</v>
      </c>
      <c r="L18" s="9" t="s">
        <v>420</v>
      </c>
      <c r="M18" s="9" t="s">
        <v>420</v>
      </c>
      <c r="N18" s="10" t="s">
        <v>421</v>
      </c>
      <c r="O18" s="11" t="s">
        <v>422</v>
      </c>
      <c r="P18" s="11" t="s">
        <v>422</v>
      </c>
      <c r="Q18" s="10" t="s">
        <v>421</v>
      </c>
      <c r="R18" s="9" t="s">
        <v>420</v>
      </c>
      <c r="S18" s="11" t="s">
        <v>422</v>
      </c>
      <c r="T18" s="11" t="s">
        <v>422</v>
      </c>
      <c r="U18" s="11" t="s">
        <v>422</v>
      </c>
    </row>
    <row r="19" spans="1:21" ht="21.75" customHeight="1" x14ac:dyDescent="0.2">
      <c r="A19" s="8" t="s">
        <v>272</v>
      </c>
      <c r="B19" s="9" t="s">
        <v>420</v>
      </c>
      <c r="C19" s="9" t="s">
        <v>420</v>
      </c>
      <c r="D19" s="9" t="s">
        <v>420</v>
      </c>
      <c r="E19" s="11" t="s">
        <v>422</v>
      </c>
      <c r="F19" s="9" t="s">
        <v>420</v>
      </c>
      <c r="G19" s="9" t="s">
        <v>420</v>
      </c>
      <c r="H19" s="9" t="s">
        <v>420</v>
      </c>
      <c r="I19" s="9" t="s">
        <v>420</v>
      </c>
      <c r="J19" s="9" t="s">
        <v>420</v>
      </c>
      <c r="K19" s="11" t="s">
        <v>422</v>
      </c>
      <c r="L19" s="9" t="s">
        <v>420</v>
      </c>
      <c r="M19" s="9" t="s">
        <v>420</v>
      </c>
      <c r="N19" s="9" t="s">
        <v>420</v>
      </c>
      <c r="O19" s="9" t="s">
        <v>420</v>
      </c>
      <c r="P19" s="11" t="s">
        <v>422</v>
      </c>
      <c r="Q19" s="9" t="s">
        <v>420</v>
      </c>
      <c r="R19" s="9" t="s">
        <v>420</v>
      </c>
      <c r="S19" s="10" t="s">
        <v>421</v>
      </c>
      <c r="T19" s="9" t="s">
        <v>420</v>
      </c>
      <c r="U19" s="10" t="s">
        <v>421</v>
      </c>
    </row>
    <row r="20" spans="1:21" ht="21.75" customHeight="1" x14ac:dyDescent="0.2">
      <c r="A20" s="8" t="s">
        <v>282</v>
      </c>
      <c r="B20" s="9" t="s">
        <v>420</v>
      </c>
      <c r="C20" s="10" t="s">
        <v>421</v>
      </c>
      <c r="D20" s="11" t="s">
        <v>422</v>
      </c>
      <c r="E20" s="9" t="s">
        <v>420</v>
      </c>
      <c r="F20" s="9" t="s">
        <v>420</v>
      </c>
      <c r="G20" s="9" t="s">
        <v>420</v>
      </c>
      <c r="H20" s="10" t="s">
        <v>421</v>
      </c>
      <c r="I20" s="9" t="s">
        <v>420</v>
      </c>
      <c r="J20" s="11" t="s">
        <v>422</v>
      </c>
      <c r="K20" s="9" t="s">
        <v>420</v>
      </c>
      <c r="L20" s="9" t="s">
        <v>420</v>
      </c>
      <c r="M20" s="11" t="s">
        <v>422</v>
      </c>
      <c r="N20" s="9" t="s">
        <v>420</v>
      </c>
      <c r="O20" s="11" t="s">
        <v>422</v>
      </c>
      <c r="P20" s="11" t="s">
        <v>422</v>
      </c>
      <c r="Q20" s="9" t="s">
        <v>420</v>
      </c>
      <c r="R20" s="9" t="s">
        <v>420</v>
      </c>
      <c r="S20" s="10" t="s">
        <v>421</v>
      </c>
      <c r="T20" s="11" t="s">
        <v>422</v>
      </c>
      <c r="U20" s="11" t="s">
        <v>422</v>
      </c>
    </row>
    <row r="21" spans="1:21" ht="21.75" customHeight="1" x14ac:dyDescent="0.2">
      <c r="A21" s="8" t="s">
        <v>290</v>
      </c>
      <c r="B21" s="9" t="s">
        <v>420</v>
      </c>
      <c r="C21" s="11" t="s">
        <v>422</v>
      </c>
      <c r="D21" s="9" t="s">
        <v>420</v>
      </c>
      <c r="E21" s="11" t="s">
        <v>422</v>
      </c>
      <c r="F21" s="9" t="s">
        <v>420</v>
      </c>
      <c r="G21" s="9" t="s">
        <v>420</v>
      </c>
      <c r="H21" s="9" t="s">
        <v>420</v>
      </c>
      <c r="I21" s="9" t="s">
        <v>420</v>
      </c>
      <c r="J21" s="9" t="s">
        <v>420</v>
      </c>
      <c r="K21" s="9" t="s">
        <v>420</v>
      </c>
      <c r="L21" s="9" t="s">
        <v>420</v>
      </c>
      <c r="M21" s="11" t="s">
        <v>422</v>
      </c>
      <c r="N21" s="11" t="s">
        <v>422</v>
      </c>
      <c r="O21" s="9" t="s">
        <v>420</v>
      </c>
      <c r="P21" s="11" t="s">
        <v>422</v>
      </c>
      <c r="Q21" s="9" t="s">
        <v>420</v>
      </c>
      <c r="R21" s="9" t="s">
        <v>420</v>
      </c>
      <c r="S21" s="11" t="s">
        <v>422</v>
      </c>
      <c r="T21" s="11" t="s">
        <v>422</v>
      </c>
      <c r="U21" s="10" t="s">
        <v>421</v>
      </c>
    </row>
    <row r="22" spans="1:21" ht="21.75" customHeight="1" x14ac:dyDescent="0.2">
      <c r="A22" s="8" t="s">
        <v>298</v>
      </c>
      <c r="B22" s="9" t="s">
        <v>420</v>
      </c>
      <c r="C22" s="9" t="s">
        <v>420</v>
      </c>
      <c r="D22" s="10" t="s">
        <v>421</v>
      </c>
      <c r="E22" s="11" t="s">
        <v>422</v>
      </c>
      <c r="F22" s="9" t="s">
        <v>420</v>
      </c>
      <c r="G22" s="9" t="s">
        <v>420</v>
      </c>
      <c r="H22" s="9" t="s">
        <v>420</v>
      </c>
      <c r="I22" s="9" t="s">
        <v>420</v>
      </c>
      <c r="J22" s="10" t="s">
        <v>421</v>
      </c>
      <c r="K22" s="9" t="s">
        <v>420</v>
      </c>
      <c r="L22" s="9" t="s">
        <v>420</v>
      </c>
      <c r="M22" s="9" t="s">
        <v>420</v>
      </c>
      <c r="N22" s="9" t="s">
        <v>420</v>
      </c>
      <c r="O22" s="11" t="s">
        <v>422</v>
      </c>
      <c r="P22" s="11" t="s">
        <v>422</v>
      </c>
      <c r="Q22" s="9" t="s">
        <v>420</v>
      </c>
      <c r="R22" s="9" t="s">
        <v>420</v>
      </c>
      <c r="S22" s="11" t="s">
        <v>422</v>
      </c>
      <c r="T22" s="11" t="s">
        <v>422</v>
      </c>
      <c r="U22" s="11" t="s">
        <v>422</v>
      </c>
    </row>
    <row r="23" spans="1:21" ht="21.75" customHeight="1" x14ac:dyDescent="0.2">
      <c r="A23" s="8" t="s">
        <v>306</v>
      </c>
      <c r="B23" s="9" t="s">
        <v>420</v>
      </c>
      <c r="C23" s="9" t="s">
        <v>420</v>
      </c>
      <c r="D23" s="9" t="s">
        <v>420</v>
      </c>
      <c r="E23" s="11" t="s">
        <v>422</v>
      </c>
      <c r="F23" s="9" t="s">
        <v>420</v>
      </c>
      <c r="G23" s="9" t="s">
        <v>420</v>
      </c>
      <c r="H23" s="9" t="s">
        <v>420</v>
      </c>
      <c r="I23" s="9" t="s">
        <v>420</v>
      </c>
      <c r="J23" s="10" t="s">
        <v>421</v>
      </c>
      <c r="K23" s="9" t="s">
        <v>420</v>
      </c>
      <c r="L23" s="9" t="s">
        <v>420</v>
      </c>
      <c r="M23" s="10" t="s">
        <v>421</v>
      </c>
      <c r="N23" s="9" t="s">
        <v>420</v>
      </c>
      <c r="O23" s="11" t="s">
        <v>422</v>
      </c>
      <c r="P23" s="11" t="s">
        <v>422</v>
      </c>
      <c r="Q23" s="9" t="s">
        <v>420</v>
      </c>
      <c r="R23" s="9" t="s">
        <v>420</v>
      </c>
      <c r="S23" s="11" t="s">
        <v>422</v>
      </c>
      <c r="T23" s="11" t="s">
        <v>422</v>
      </c>
      <c r="U23" s="10" t="s">
        <v>421</v>
      </c>
    </row>
    <row r="24" spans="1:21" ht="21.75" customHeight="1" x14ac:dyDescent="0.2">
      <c r="A24" s="8" t="s">
        <v>314</v>
      </c>
      <c r="B24" s="9" t="s">
        <v>420</v>
      </c>
      <c r="C24" s="9" t="s">
        <v>420</v>
      </c>
      <c r="D24" s="9" t="s">
        <v>420</v>
      </c>
      <c r="E24" s="11" t="s">
        <v>422</v>
      </c>
      <c r="F24" s="9" t="s">
        <v>420</v>
      </c>
      <c r="G24" s="9" t="s">
        <v>420</v>
      </c>
      <c r="H24" s="9" t="s">
        <v>420</v>
      </c>
      <c r="I24" s="9" t="s">
        <v>420</v>
      </c>
      <c r="J24" s="9" t="s">
        <v>420</v>
      </c>
      <c r="K24" s="9" t="s">
        <v>420</v>
      </c>
      <c r="L24" s="9" t="s">
        <v>420</v>
      </c>
      <c r="M24" s="10" t="s">
        <v>421</v>
      </c>
      <c r="N24" s="9" t="s">
        <v>420</v>
      </c>
      <c r="O24" s="11" t="s">
        <v>422</v>
      </c>
      <c r="P24" s="11" t="s">
        <v>422</v>
      </c>
      <c r="Q24" s="9" t="s">
        <v>420</v>
      </c>
      <c r="R24" s="9" t="s">
        <v>420</v>
      </c>
      <c r="S24" s="10" t="s">
        <v>421</v>
      </c>
      <c r="T24" s="9" t="s">
        <v>420</v>
      </c>
      <c r="U24" s="11" t="s">
        <v>422</v>
      </c>
    </row>
    <row r="25" spans="1:21" ht="21.75" customHeight="1" x14ac:dyDescent="0.2">
      <c r="A25" s="8" t="s">
        <v>322</v>
      </c>
      <c r="B25" s="10" t="s">
        <v>421</v>
      </c>
      <c r="C25" s="9" t="s">
        <v>420</v>
      </c>
      <c r="D25" s="9" t="s">
        <v>420</v>
      </c>
      <c r="E25" s="11" t="s">
        <v>422</v>
      </c>
      <c r="F25" s="11" t="s">
        <v>422</v>
      </c>
      <c r="G25" s="9" t="s">
        <v>420</v>
      </c>
      <c r="H25" s="9" t="s">
        <v>420</v>
      </c>
      <c r="I25" s="9" t="s">
        <v>420</v>
      </c>
      <c r="J25" s="10" t="s">
        <v>421</v>
      </c>
      <c r="K25" s="9" t="s">
        <v>420</v>
      </c>
      <c r="L25" s="9" t="s">
        <v>420</v>
      </c>
      <c r="M25" s="9" t="s">
        <v>420</v>
      </c>
      <c r="N25" s="9" t="s">
        <v>420</v>
      </c>
      <c r="O25" s="11" t="s">
        <v>422</v>
      </c>
      <c r="P25" s="11" t="s">
        <v>422</v>
      </c>
      <c r="Q25" s="9" t="s">
        <v>420</v>
      </c>
      <c r="R25" s="9" t="s">
        <v>420</v>
      </c>
      <c r="S25" s="11" t="s">
        <v>422</v>
      </c>
      <c r="T25" s="9" t="s">
        <v>420</v>
      </c>
      <c r="U25" s="9" t="s">
        <v>420</v>
      </c>
    </row>
    <row r="26" spans="1:21" ht="21.75" customHeight="1" x14ac:dyDescent="0.2">
      <c r="A26" s="8" t="s">
        <v>330</v>
      </c>
      <c r="B26" s="9" t="s">
        <v>420</v>
      </c>
      <c r="C26" s="9" t="s">
        <v>420</v>
      </c>
      <c r="D26" s="10" t="s">
        <v>421</v>
      </c>
      <c r="E26" s="11" t="s">
        <v>422</v>
      </c>
      <c r="F26" s="9" t="s">
        <v>420</v>
      </c>
      <c r="G26" s="9" t="s">
        <v>420</v>
      </c>
      <c r="H26" s="10" t="s">
        <v>421</v>
      </c>
      <c r="I26" s="9" t="s">
        <v>420</v>
      </c>
      <c r="J26" s="11" t="s">
        <v>422</v>
      </c>
      <c r="K26" s="9" t="s">
        <v>420</v>
      </c>
      <c r="L26" s="9" t="s">
        <v>420</v>
      </c>
      <c r="M26" s="9" t="s">
        <v>420</v>
      </c>
      <c r="N26" s="9" t="s">
        <v>420</v>
      </c>
      <c r="O26" s="11" t="s">
        <v>422</v>
      </c>
      <c r="P26" s="11" t="s">
        <v>422</v>
      </c>
      <c r="Q26" s="9" t="s">
        <v>420</v>
      </c>
      <c r="R26" s="9" t="s">
        <v>420</v>
      </c>
      <c r="S26" s="11" t="s">
        <v>422</v>
      </c>
      <c r="T26" s="11" t="s">
        <v>422</v>
      </c>
      <c r="U26" s="9" t="s">
        <v>420</v>
      </c>
    </row>
    <row r="27" spans="1:21" ht="21.75" customHeight="1" x14ac:dyDescent="0.2">
      <c r="A27" s="8" t="s">
        <v>339</v>
      </c>
      <c r="B27" s="10" t="s">
        <v>421</v>
      </c>
      <c r="C27" s="9" t="s">
        <v>420</v>
      </c>
      <c r="D27" s="10" t="s">
        <v>421</v>
      </c>
      <c r="E27" s="11" t="s">
        <v>422</v>
      </c>
      <c r="F27" s="9" t="s">
        <v>420</v>
      </c>
      <c r="G27" s="9" t="s">
        <v>420</v>
      </c>
      <c r="H27" s="10" t="s">
        <v>421</v>
      </c>
      <c r="I27" s="9" t="s">
        <v>420</v>
      </c>
      <c r="J27" s="11" t="s">
        <v>422</v>
      </c>
      <c r="K27" s="9" t="s">
        <v>420</v>
      </c>
      <c r="L27" s="9" t="s">
        <v>420</v>
      </c>
      <c r="M27" s="9" t="s">
        <v>420</v>
      </c>
      <c r="N27" s="9" t="s">
        <v>420</v>
      </c>
      <c r="O27" s="11" t="s">
        <v>422</v>
      </c>
      <c r="P27" s="11" t="s">
        <v>422</v>
      </c>
      <c r="Q27" s="9" t="s">
        <v>420</v>
      </c>
      <c r="R27" s="9" t="s">
        <v>420</v>
      </c>
      <c r="S27" s="11" t="s">
        <v>422</v>
      </c>
      <c r="T27" s="11" t="s">
        <v>422</v>
      </c>
      <c r="U27" s="10" t="s">
        <v>421</v>
      </c>
    </row>
    <row r="28" spans="1:21" ht="21.75" customHeight="1" x14ac:dyDescent="0.2">
      <c r="A28" s="8" t="s">
        <v>347</v>
      </c>
      <c r="B28" s="9" t="s">
        <v>420</v>
      </c>
      <c r="C28" s="9" t="s">
        <v>420</v>
      </c>
      <c r="D28" s="9" t="s">
        <v>420</v>
      </c>
      <c r="E28" s="9" t="s">
        <v>420</v>
      </c>
      <c r="F28" s="9" t="s">
        <v>420</v>
      </c>
      <c r="G28" s="9" t="s">
        <v>420</v>
      </c>
      <c r="H28" s="10" t="s">
        <v>421</v>
      </c>
      <c r="I28" s="9" t="s">
        <v>420</v>
      </c>
      <c r="J28" s="11" t="s">
        <v>422</v>
      </c>
      <c r="K28" s="9" t="s">
        <v>420</v>
      </c>
      <c r="L28" s="9" t="s">
        <v>420</v>
      </c>
      <c r="M28" s="9" t="s">
        <v>420</v>
      </c>
      <c r="N28" s="9" t="s">
        <v>420</v>
      </c>
      <c r="O28" s="11" t="s">
        <v>422</v>
      </c>
      <c r="P28" s="11" t="s">
        <v>422</v>
      </c>
      <c r="Q28" s="9" t="s">
        <v>420</v>
      </c>
      <c r="R28" s="9" t="s">
        <v>420</v>
      </c>
      <c r="S28" s="10" t="s">
        <v>421</v>
      </c>
      <c r="T28" s="11" t="s">
        <v>422</v>
      </c>
      <c r="U28" s="11" t="s">
        <v>422</v>
      </c>
    </row>
    <row r="29" spans="1:21" ht="21.75" customHeight="1" x14ac:dyDescent="0.2">
      <c r="A29" s="8" t="s">
        <v>355</v>
      </c>
      <c r="B29" s="9" t="s">
        <v>420</v>
      </c>
      <c r="C29" s="11" t="s">
        <v>422</v>
      </c>
      <c r="D29" s="9" t="s">
        <v>420</v>
      </c>
      <c r="E29" s="11" t="s">
        <v>422</v>
      </c>
      <c r="F29" s="9" t="s">
        <v>420</v>
      </c>
      <c r="G29" s="9" t="s">
        <v>420</v>
      </c>
      <c r="H29" s="10" t="s">
        <v>421</v>
      </c>
      <c r="I29" s="9" t="s">
        <v>420</v>
      </c>
      <c r="J29" s="10" t="s">
        <v>421</v>
      </c>
      <c r="K29" s="9" t="s">
        <v>420</v>
      </c>
      <c r="L29" s="9" t="s">
        <v>420</v>
      </c>
      <c r="M29" s="11" t="s">
        <v>422</v>
      </c>
      <c r="N29" s="11" t="s">
        <v>422</v>
      </c>
      <c r="O29" s="9" t="s">
        <v>420</v>
      </c>
      <c r="P29" s="11" t="s">
        <v>422</v>
      </c>
      <c r="Q29" s="9" t="s">
        <v>420</v>
      </c>
      <c r="R29" s="9" t="s">
        <v>420</v>
      </c>
      <c r="S29" s="11" t="s">
        <v>422</v>
      </c>
      <c r="T29" s="11" t="s">
        <v>422</v>
      </c>
      <c r="U29" s="11" t="s">
        <v>422</v>
      </c>
    </row>
    <row r="30" spans="1:21" ht="21.75" customHeight="1" x14ac:dyDescent="0.2">
      <c r="A30" s="8" t="s">
        <v>363</v>
      </c>
      <c r="B30" s="9" t="s">
        <v>420</v>
      </c>
      <c r="C30" s="9" t="s">
        <v>420</v>
      </c>
      <c r="D30" s="9" t="s">
        <v>420</v>
      </c>
      <c r="E30" s="11" t="s">
        <v>422</v>
      </c>
      <c r="F30" s="9" t="s">
        <v>420</v>
      </c>
      <c r="G30" s="9" t="s">
        <v>420</v>
      </c>
      <c r="H30" s="10" t="s">
        <v>421</v>
      </c>
      <c r="I30" s="9" t="s">
        <v>420</v>
      </c>
      <c r="J30" s="10" t="s">
        <v>421</v>
      </c>
      <c r="K30" s="9" t="s">
        <v>420</v>
      </c>
      <c r="L30" s="9" t="s">
        <v>420</v>
      </c>
      <c r="M30" s="9" t="s">
        <v>420</v>
      </c>
      <c r="N30" s="9" t="s">
        <v>420</v>
      </c>
      <c r="O30" s="11" t="s">
        <v>422</v>
      </c>
      <c r="P30" s="9" t="s">
        <v>420</v>
      </c>
      <c r="Q30" s="9" t="s">
        <v>420</v>
      </c>
      <c r="R30" s="9" t="s">
        <v>420</v>
      </c>
      <c r="S30" s="11" t="s">
        <v>422</v>
      </c>
      <c r="T30" s="10" t="s">
        <v>421</v>
      </c>
      <c r="U30" s="11" t="s">
        <v>422</v>
      </c>
    </row>
    <row r="31" spans="1:21" ht="21.75" customHeight="1" x14ac:dyDescent="0.2">
      <c r="A31" s="8" t="s">
        <v>369</v>
      </c>
      <c r="B31" s="9" t="s">
        <v>420</v>
      </c>
      <c r="C31" s="9" t="s">
        <v>420</v>
      </c>
      <c r="D31" s="9" t="s">
        <v>420</v>
      </c>
      <c r="E31" s="11" t="s">
        <v>422</v>
      </c>
      <c r="F31" s="9" t="s">
        <v>420</v>
      </c>
      <c r="G31" s="9" t="s">
        <v>420</v>
      </c>
      <c r="H31" s="10" t="s">
        <v>421</v>
      </c>
      <c r="I31" s="9" t="s">
        <v>420</v>
      </c>
      <c r="J31" s="9" t="s">
        <v>420</v>
      </c>
      <c r="K31" s="9" t="s">
        <v>420</v>
      </c>
      <c r="L31" s="9" t="s">
        <v>420</v>
      </c>
      <c r="M31" s="11" t="s">
        <v>422</v>
      </c>
      <c r="N31" s="10" t="s">
        <v>421</v>
      </c>
      <c r="O31" s="11" t="s">
        <v>422</v>
      </c>
      <c r="P31" s="11" t="s">
        <v>422</v>
      </c>
      <c r="Q31" s="9" t="s">
        <v>420</v>
      </c>
      <c r="R31" s="9" t="s">
        <v>420</v>
      </c>
      <c r="S31" s="11" t="s">
        <v>422</v>
      </c>
      <c r="T31" s="11" t="s">
        <v>422</v>
      </c>
      <c r="U31" s="11" t="s">
        <v>422</v>
      </c>
    </row>
    <row r="32" spans="1:21" ht="21.75" customHeight="1" x14ac:dyDescent="0.2">
      <c r="A32" s="8" t="s">
        <v>377</v>
      </c>
      <c r="B32" s="9" t="s">
        <v>420</v>
      </c>
      <c r="C32" s="11" t="s">
        <v>422</v>
      </c>
      <c r="D32" s="10" t="s">
        <v>421</v>
      </c>
      <c r="E32" s="11" t="s">
        <v>422</v>
      </c>
      <c r="F32" s="9" t="s">
        <v>420</v>
      </c>
      <c r="G32" s="9" t="s">
        <v>420</v>
      </c>
      <c r="H32" s="10" t="s">
        <v>421</v>
      </c>
      <c r="I32" s="9" t="s">
        <v>420</v>
      </c>
      <c r="J32" s="10" t="s">
        <v>421</v>
      </c>
      <c r="K32" s="9" t="s">
        <v>420</v>
      </c>
      <c r="L32" s="9" t="s">
        <v>420</v>
      </c>
      <c r="M32" s="11" t="s">
        <v>422</v>
      </c>
      <c r="N32" s="9" t="s">
        <v>420</v>
      </c>
      <c r="O32" s="9" t="s">
        <v>420</v>
      </c>
      <c r="P32" s="11" t="s">
        <v>422</v>
      </c>
      <c r="Q32" s="9" t="s">
        <v>420</v>
      </c>
      <c r="R32" s="9" t="s">
        <v>420</v>
      </c>
      <c r="S32" s="11" t="s">
        <v>422</v>
      </c>
      <c r="T32" s="11" t="s">
        <v>422</v>
      </c>
      <c r="U32" s="11" t="s">
        <v>422</v>
      </c>
    </row>
    <row r="33" spans="1:21" ht="21.75" customHeight="1" x14ac:dyDescent="0.2">
      <c r="A33" s="8" t="s">
        <v>383</v>
      </c>
      <c r="B33" s="9" t="s">
        <v>420</v>
      </c>
      <c r="C33" s="9" t="s">
        <v>420</v>
      </c>
      <c r="D33" s="9" t="s">
        <v>420</v>
      </c>
      <c r="E33" s="11" t="s">
        <v>422</v>
      </c>
      <c r="F33" s="9" t="s">
        <v>420</v>
      </c>
      <c r="G33" s="9" t="s">
        <v>420</v>
      </c>
      <c r="H33" s="10" t="s">
        <v>421</v>
      </c>
      <c r="I33" s="9" t="s">
        <v>420</v>
      </c>
      <c r="J33" s="10" t="s">
        <v>421</v>
      </c>
      <c r="K33" s="9" t="s">
        <v>420</v>
      </c>
      <c r="L33" s="9" t="s">
        <v>420</v>
      </c>
      <c r="M33" s="9" t="s">
        <v>420</v>
      </c>
      <c r="N33" s="9" t="s">
        <v>420</v>
      </c>
      <c r="O33" s="11" t="s">
        <v>422</v>
      </c>
      <c r="P33" s="11" t="s">
        <v>422</v>
      </c>
      <c r="Q33" s="9" t="s">
        <v>420</v>
      </c>
      <c r="R33" s="9" t="s">
        <v>420</v>
      </c>
      <c r="S33" s="11" t="s">
        <v>422</v>
      </c>
      <c r="T33" s="11" t="s">
        <v>422</v>
      </c>
      <c r="U33" s="11" t="s">
        <v>422</v>
      </c>
    </row>
    <row r="34" spans="1:21" ht="21.75" customHeight="1" x14ac:dyDescent="0.2">
      <c r="A34" s="8" t="s">
        <v>391</v>
      </c>
      <c r="B34" s="9" t="s">
        <v>420</v>
      </c>
      <c r="C34" s="11" t="s">
        <v>422</v>
      </c>
      <c r="D34" s="10" t="s">
        <v>421</v>
      </c>
      <c r="E34" s="11" t="s">
        <v>422</v>
      </c>
      <c r="F34" s="9" t="s">
        <v>420</v>
      </c>
      <c r="G34" s="9" t="s">
        <v>420</v>
      </c>
      <c r="H34" s="10" t="s">
        <v>421</v>
      </c>
      <c r="I34" s="9" t="s">
        <v>420</v>
      </c>
      <c r="J34" s="10" t="s">
        <v>421</v>
      </c>
      <c r="K34" s="9" t="s">
        <v>420</v>
      </c>
      <c r="L34" s="9" t="s">
        <v>420</v>
      </c>
      <c r="M34" s="11" t="s">
        <v>422</v>
      </c>
      <c r="N34" s="9" t="s">
        <v>420</v>
      </c>
      <c r="O34" s="11" t="s">
        <v>422</v>
      </c>
      <c r="P34" s="11" t="s">
        <v>422</v>
      </c>
      <c r="Q34" s="9" t="s">
        <v>420</v>
      </c>
      <c r="R34" s="9" t="s">
        <v>420</v>
      </c>
      <c r="S34" s="11" t="s">
        <v>422</v>
      </c>
      <c r="T34" s="11" t="s">
        <v>422</v>
      </c>
      <c r="U34" s="11" t="s">
        <v>422</v>
      </c>
    </row>
    <row r="35" spans="1:21" x14ac:dyDescent="0.2">
      <c r="A35" s="12" t="s">
        <v>423</v>
      </c>
      <c r="B35" s="12">
        <f t="shared" ref="B35:U35" si="0">COUNTIF(B5:B34,"✓")</f>
        <v>22</v>
      </c>
      <c r="C35" s="12">
        <f t="shared" si="0"/>
        <v>19</v>
      </c>
      <c r="D35" s="12">
        <f t="shared" si="0"/>
        <v>15</v>
      </c>
      <c r="E35" s="12">
        <f t="shared" si="0"/>
        <v>2</v>
      </c>
      <c r="F35" s="12">
        <f t="shared" si="0"/>
        <v>21</v>
      </c>
      <c r="G35" s="12">
        <f t="shared" si="0"/>
        <v>26</v>
      </c>
      <c r="H35" s="12">
        <f t="shared" si="0"/>
        <v>9</v>
      </c>
      <c r="I35" s="12">
        <f t="shared" si="0"/>
        <v>29</v>
      </c>
      <c r="J35" s="12">
        <f t="shared" si="0"/>
        <v>4</v>
      </c>
      <c r="K35" s="12">
        <f t="shared" si="0"/>
        <v>15</v>
      </c>
      <c r="L35" s="12">
        <f t="shared" si="0"/>
        <v>30</v>
      </c>
      <c r="M35" s="12">
        <f t="shared" si="0"/>
        <v>13</v>
      </c>
      <c r="N35" s="12">
        <f t="shared" si="0"/>
        <v>19</v>
      </c>
      <c r="O35" s="12">
        <f t="shared" si="0"/>
        <v>5</v>
      </c>
      <c r="P35" s="12">
        <f t="shared" si="0"/>
        <v>1</v>
      </c>
      <c r="Q35" s="12">
        <f t="shared" si="0"/>
        <v>25</v>
      </c>
      <c r="R35" s="12">
        <f t="shared" si="0"/>
        <v>29</v>
      </c>
      <c r="S35" s="12">
        <f t="shared" si="0"/>
        <v>0</v>
      </c>
      <c r="T35" s="12">
        <f t="shared" si="0"/>
        <v>3</v>
      </c>
      <c r="U35" s="12">
        <f t="shared" si="0"/>
        <v>4</v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zoomScaleNormal="100" workbookViewId="0">
      <pane ySplit="4" topLeftCell="A5" activePane="bottomLeft" state="frozen"/>
      <selection pane="bottomLeft" sqref="A1:E1"/>
    </sheetView>
  </sheetViews>
  <sheetFormatPr baseColWidth="10" defaultColWidth="8.6640625" defaultRowHeight="15" x14ac:dyDescent="0.2"/>
  <cols>
    <col min="1" max="1" width="22" customWidth="1"/>
    <col min="2" max="2" width="32" customWidth="1"/>
    <col min="3" max="3" width="38" customWidth="1"/>
    <col min="4" max="4" width="50" customWidth="1"/>
    <col min="5" max="5" width="42" customWidth="1"/>
  </cols>
  <sheetData>
    <row r="1" spans="1:5" ht="27.75" customHeight="1" x14ac:dyDescent="0.2">
      <c r="A1" s="2" t="s">
        <v>424</v>
      </c>
      <c r="B1" s="2"/>
      <c r="C1" s="2"/>
      <c r="D1" s="2"/>
      <c r="E1" s="2"/>
    </row>
    <row r="2" spans="1:5" ht="15" customHeight="1" x14ac:dyDescent="0.2">
      <c r="A2" s="1" t="s">
        <v>425</v>
      </c>
      <c r="B2" s="1"/>
      <c r="C2" s="1"/>
      <c r="D2" s="1"/>
      <c r="E2" s="1"/>
    </row>
    <row r="4" spans="1:5" ht="36" customHeight="1" x14ac:dyDescent="0.2">
      <c r="A4" s="4" t="s">
        <v>426</v>
      </c>
      <c r="B4" s="4" t="s">
        <v>427</v>
      </c>
      <c r="C4" s="4" t="s">
        <v>428</v>
      </c>
      <c r="D4" s="4" t="s">
        <v>429</v>
      </c>
      <c r="E4" s="4" t="s">
        <v>430</v>
      </c>
    </row>
    <row r="5" spans="1:5" ht="79.5" customHeight="1" x14ac:dyDescent="0.2">
      <c r="A5" s="5" t="s">
        <v>431</v>
      </c>
      <c r="B5" s="5" t="s">
        <v>432</v>
      </c>
      <c r="C5" s="5" t="s">
        <v>433</v>
      </c>
      <c r="D5" s="5" t="s">
        <v>434</v>
      </c>
      <c r="E5" s="5" t="s">
        <v>435</v>
      </c>
    </row>
    <row r="6" spans="1:5" ht="79.5" customHeight="1" x14ac:dyDescent="0.2">
      <c r="A6" s="7" t="s">
        <v>436</v>
      </c>
      <c r="B6" s="7" t="s">
        <v>437</v>
      </c>
      <c r="C6" s="7" t="s">
        <v>438</v>
      </c>
      <c r="D6" s="7" t="s">
        <v>439</v>
      </c>
      <c r="E6" s="7" t="s">
        <v>440</v>
      </c>
    </row>
    <row r="7" spans="1:5" ht="79.5" customHeight="1" x14ac:dyDescent="0.2">
      <c r="A7" s="5" t="s">
        <v>441</v>
      </c>
      <c r="B7" s="5" t="s">
        <v>442</v>
      </c>
      <c r="C7" s="5" t="s">
        <v>443</v>
      </c>
      <c r="D7" s="5" t="s">
        <v>444</v>
      </c>
      <c r="E7" s="5" t="s">
        <v>445</v>
      </c>
    </row>
    <row r="8" spans="1:5" ht="79.5" customHeight="1" x14ac:dyDescent="0.2">
      <c r="A8" s="7" t="s">
        <v>446</v>
      </c>
      <c r="B8" s="7" t="s">
        <v>447</v>
      </c>
      <c r="C8" s="7" t="s">
        <v>448</v>
      </c>
      <c r="D8" s="7" t="s">
        <v>449</v>
      </c>
      <c r="E8" s="7" t="s">
        <v>450</v>
      </c>
    </row>
    <row r="9" spans="1:5" ht="79.5" customHeight="1" x14ac:dyDescent="0.2">
      <c r="A9" s="5" t="s">
        <v>446</v>
      </c>
      <c r="B9" s="5" t="s">
        <v>451</v>
      </c>
      <c r="C9" s="5" t="s">
        <v>452</v>
      </c>
      <c r="D9" s="5" t="s">
        <v>453</v>
      </c>
      <c r="E9" s="5" t="s">
        <v>454</v>
      </c>
    </row>
    <row r="10" spans="1:5" ht="79.5" customHeight="1" x14ac:dyDescent="0.2">
      <c r="A10" s="7" t="s">
        <v>455</v>
      </c>
      <c r="B10" s="7" t="s">
        <v>456</v>
      </c>
      <c r="C10" s="7" t="s">
        <v>457</v>
      </c>
      <c r="D10" s="7" t="s">
        <v>458</v>
      </c>
      <c r="E10" s="7" t="s">
        <v>459</v>
      </c>
    </row>
    <row r="11" spans="1:5" ht="79.5" customHeight="1" x14ac:dyDescent="0.2">
      <c r="A11" s="5" t="s">
        <v>455</v>
      </c>
      <c r="B11" s="5" t="s">
        <v>460</v>
      </c>
      <c r="C11" s="5" t="s">
        <v>461</v>
      </c>
      <c r="D11" s="5" t="s">
        <v>462</v>
      </c>
      <c r="E11" s="5" t="s">
        <v>463</v>
      </c>
    </row>
    <row r="12" spans="1:5" ht="79.5" customHeight="1" x14ac:dyDescent="0.2">
      <c r="A12" s="7" t="s">
        <v>464</v>
      </c>
      <c r="B12" s="7" t="s">
        <v>465</v>
      </c>
      <c r="C12" s="7" t="s">
        <v>466</v>
      </c>
      <c r="D12" s="7" t="s">
        <v>467</v>
      </c>
      <c r="E12" s="7" t="s">
        <v>468</v>
      </c>
    </row>
    <row r="13" spans="1:5" ht="79.5" customHeight="1" x14ac:dyDescent="0.2">
      <c r="A13" s="5" t="s">
        <v>469</v>
      </c>
      <c r="B13" s="5" t="s">
        <v>470</v>
      </c>
      <c r="C13" s="5" t="s">
        <v>471</v>
      </c>
      <c r="D13" s="5" t="s">
        <v>472</v>
      </c>
      <c r="E13" s="5" t="s">
        <v>473</v>
      </c>
    </row>
    <row r="14" spans="1:5" ht="79.5" customHeight="1" x14ac:dyDescent="0.2">
      <c r="A14" s="7" t="s">
        <v>474</v>
      </c>
      <c r="B14" s="7" t="s">
        <v>475</v>
      </c>
      <c r="C14" s="7" t="s">
        <v>476</v>
      </c>
      <c r="D14" s="7" t="s">
        <v>477</v>
      </c>
      <c r="E14" s="7" t="s">
        <v>478</v>
      </c>
    </row>
    <row r="15" spans="1:5" ht="79.5" customHeight="1" x14ac:dyDescent="0.2">
      <c r="A15" s="5" t="s">
        <v>479</v>
      </c>
      <c r="B15" s="5" t="s">
        <v>480</v>
      </c>
      <c r="C15" s="5" t="s">
        <v>481</v>
      </c>
      <c r="D15" s="5" t="s">
        <v>482</v>
      </c>
      <c r="E15" s="5" t="s">
        <v>483</v>
      </c>
    </row>
    <row r="16" spans="1:5" ht="79.5" customHeight="1" x14ac:dyDescent="0.2">
      <c r="A16" s="7" t="s">
        <v>484</v>
      </c>
      <c r="B16" s="7" t="s">
        <v>485</v>
      </c>
      <c r="C16" s="7" t="s">
        <v>486</v>
      </c>
      <c r="D16" s="7" t="s">
        <v>487</v>
      </c>
      <c r="E16" s="7" t="s">
        <v>488</v>
      </c>
    </row>
    <row r="17" spans="1:5" ht="79.5" customHeight="1" x14ac:dyDescent="0.2">
      <c r="A17" s="5" t="s">
        <v>489</v>
      </c>
      <c r="B17" s="5" t="s">
        <v>490</v>
      </c>
      <c r="C17" s="5" t="s">
        <v>491</v>
      </c>
      <c r="D17" s="5" t="s">
        <v>492</v>
      </c>
      <c r="E17" s="5" t="s">
        <v>493</v>
      </c>
    </row>
    <row r="18" spans="1:5" ht="79.5" customHeight="1" x14ac:dyDescent="0.2">
      <c r="A18" s="7" t="s">
        <v>494</v>
      </c>
      <c r="B18" s="7" t="s">
        <v>495</v>
      </c>
      <c r="C18" s="7" t="s">
        <v>496</v>
      </c>
      <c r="D18" s="7" t="s">
        <v>497</v>
      </c>
      <c r="E18" s="7" t="s">
        <v>498</v>
      </c>
    </row>
    <row r="19" spans="1:5" ht="79.5" customHeight="1" x14ac:dyDescent="0.2">
      <c r="A19" s="5" t="s">
        <v>499</v>
      </c>
      <c r="B19" s="5" t="s">
        <v>500</v>
      </c>
      <c r="C19" s="5" t="s">
        <v>501</v>
      </c>
      <c r="D19" s="5" t="s">
        <v>502</v>
      </c>
      <c r="E19" s="5" t="s">
        <v>503</v>
      </c>
    </row>
    <row r="20" spans="1:5" ht="79.5" customHeight="1" x14ac:dyDescent="0.2">
      <c r="A20" s="7" t="s">
        <v>504</v>
      </c>
      <c r="B20" s="7" t="s">
        <v>505</v>
      </c>
      <c r="C20" s="7" t="s">
        <v>506</v>
      </c>
      <c r="D20" s="7" t="s">
        <v>507</v>
      </c>
      <c r="E20" s="7" t="s">
        <v>508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"/>
  <sheetViews>
    <sheetView zoomScaleNormal="100" workbookViewId="0">
      <pane ySplit="4" topLeftCell="A5" activePane="bottomLeft" state="frozen"/>
      <selection pane="bottomLeft" sqref="A1:D1"/>
    </sheetView>
  </sheetViews>
  <sheetFormatPr baseColWidth="10" defaultColWidth="8.6640625" defaultRowHeight="15" x14ac:dyDescent="0.2"/>
  <cols>
    <col min="1" max="1" width="28" customWidth="1"/>
    <col min="2" max="2" width="50" customWidth="1"/>
    <col min="3" max="3" width="38" customWidth="1"/>
    <col min="4" max="4" width="60" customWidth="1"/>
  </cols>
  <sheetData>
    <row r="1" spans="1:4" ht="27.75" customHeight="1" x14ac:dyDescent="0.2">
      <c r="A1" s="2" t="s">
        <v>509</v>
      </c>
      <c r="B1" s="2"/>
      <c r="C1" s="2"/>
      <c r="D1" s="2"/>
    </row>
    <row r="2" spans="1:4" ht="15" customHeight="1" x14ac:dyDescent="0.2">
      <c r="A2" s="1" t="s">
        <v>510</v>
      </c>
      <c r="B2" s="1"/>
      <c r="C2" s="1"/>
      <c r="D2" s="1"/>
    </row>
    <row r="4" spans="1:4" ht="36" customHeight="1" x14ac:dyDescent="0.2">
      <c r="A4" s="4" t="s">
        <v>511</v>
      </c>
      <c r="B4" s="4" t="s">
        <v>512</v>
      </c>
      <c r="C4" s="4" t="s">
        <v>513</v>
      </c>
      <c r="D4" s="4" t="s">
        <v>514</v>
      </c>
    </row>
    <row r="5" spans="1:4" ht="79.5" customHeight="1" x14ac:dyDescent="0.2">
      <c r="A5" s="5" t="s">
        <v>515</v>
      </c>
      <c r="B5" s="5" t="s">
        <v>516</v>
      </c>
      <c r="C5" s="5" t="s">
        <v>517</v>
      </c>
      <c r="D5" s="5" t="s">
        <v>518</v>
      </c>
    </row>
    <row r="6" spans="1:4" ht="79.5" customHeight="1" x14ac:dyDescent="0.2">
      <c r="A6" s="7" t="s">
        <v>519</v>
      </c>
      <c r="B6" s="7" t="s">
        <v>520</v>
      </c>
      <c r="C6" s="7" t="s">
        <v>521</v>
      </c>
      <c r="D6" s="7" t="s">
        <v>522</v>
      </c>
    </row>
    <row r="7" spans="1:4" ht="79.5" customHeight="1" x14ac:dyDescent="0.2">
      <c r="A7" s="5" t="s">
        <v>523</v>
      </c>
      <c r="B7" s="5" t="s">
        <v>524</v>
      </c>
      <c r="C7" s="5" t="s">
        <v>525</v>
      </c>
      <c r="D7" s="5" t="s">
        <v>526</v>
      </c>
    </row>
    <row r="8" spans="1:4" ht="79.5" customHeight="1" x14ac:dyDescent="0.2">
      <c r="A8" s="7" t="s">
        <v>527</v>
      </c>
      <c r="B8" s="7" t="s">
        <v>528</v>
      </c>
      <c r="C8" s="7" t="s">
        <v>529</v>
      </c>
      <c r="D8" s="7" t="s">
        <v>530</v>
      </c>
    </row>
    <row r="9" spans="1:4" ht="79.5" customHeight="1" x14ac:dyDescent="0.2">
      <c r="A9" s="5" t="s">
        <v>531</v>
      </c>
      <c r="B9" s="5" t="s">
        <v>532</v>
      </c>
      <c r="C9" s="5" t="s">
        <v>533</v>
      </c>
      <c r="D9" s="5" t="s">
        <v>534</v>
      </c>
    </row>
    <row r="10" spans="1:4" ht="79.5" customHeight="1" x14ac:dyDescent="0.2">
      <c r="A10" s="7" t="s">
        <v>535</v>
      </c>
      <c r="B10" s="7" t="s">
        <v>536</v>
      </c>
      <c r="C10" s="7" t="s">
        <v>537</v>
      </c>
      <c r="D10" s="7" t="s">
        <v>538</v>
      </c>
    </row>
    <row r="11" spans="1:4" ht="79.5" customHeight="1" x14ac:dyDescent="0.2">
      <c r="A11" s="5" t="s">
        <v>539</v>
      </c>
      <c r="B11" s="5" t="s">
        <v>540</v>
      </c>
      <c r="C11" s="5" t="s">
        <v>541</v>
      </c>
      <c r="D11" s="5" t="s">
        <v>542</v>
      </c>
    </row>
    <row r="12" spans="1:4" ht="79.5" customHeight="1" x14ac:dyDescent="0.2">
      <c r="A12" s="7" t="s">
        <v>543</v>
      </c>
      <c r="B12" s="7" t="s">
        <v>544</v>
      </c>
      <c r="C12" s="7" t="s">
        <v>545</v>
      </c>
      <c r="D12" s="7" t="s">
        <v>546</v>
      </c>
    </row>
    <row r="13" spans="1:4" ht="79.5" customHeight="1" x14ac:dyDescent="0.2">
      <c r="A13" s="5" t="s">
        <v>547</v>
      </c>
      <c r="B13" s="5" t="s">
        <v>548</v>
      </c>
      <c r="C13" s="5" t="s">
        <v>549</v>
      </c>
      <c r="D13" s="5" t="s">
        <v>550</v>
      </c>
    </row>
    <row r="14" spans="1:4" ht="79.5" customHeight="1" x14ac:dyDescent="0.2">
      <c r="A14" s="7" t="s">
        <v>551</v>
      </c>
      <c r="B14" s="7" t="s">
        <v>552</v>
      </c>
      <c r="C14" s="7" t="s">
        <v>553</v>
      </c>
      <c r="D14" s="7" t="s">
        <v>554</v>
      </c>
    </row>
    <row r="15" spans="1:4" ht="79.5" customHeight="1" x14ac:dyDescent="0.2">
      <c r="A15" s="5" t="s">
        <v>555</v>
      </c>
      <c r="B15" s="5" t="s">
        <v>556</v>
      </c>
      <c r="C15" s="5" t="s">
        <v>557</v>
      </c>
      <c r="D15" s="5" t="s">
        <v>558</v>
      </c>
    </row>
    <row r="16" spans="1:4" ht="79.5" customHeight="1" x14ac:dyDescent="0.2">
      <c r="A16" s="7" t="s">
        <v>559</v>
      </c>
      <c r="B16" s="7" t="s">
        <v>560</v>
      </c>
      <c r="C16" s="7" t="s">
        <v>561</v>
      </c>
      <c r="D16" s="7" t="s">
        <v>562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4"/>
  <sheetViews>
    <sheetView zoomScaleNormal="100" workbookViewId="0">
      <pane ySplit="4" topLeftCell="A5" activePane="bottomLeft" state="frozen"/>
      <selection pane="bottomLeft" sqref="A1:D1"/>
    </sheetView>
  </sheetViews>
  <sheetFormatPr baseColWidth="10" defaultColWidth="8.6640625" defaultRowHeight="15" x14ac:dyDescent="0.2"/>
  <cols>
    <col min="1" max="1" width="28" customWidth="1"/>
    <col min="2" max="2" width="38" customWidth="1"/>
    <col min="3" max="3" width="50" customWidth="1"/>
    <col min="4" max="4" width="60" customWidth="1"/>
  </cols>
  <sheetData>
    <row r="1" spans="1:4" ht="27.75" customHeight="1" x14ac:dyDescent="0.2">
      <c r="A1" s="2" t="s">
        <v>563</v>
      </c>
      <c r="B1" s="2"/>
      <c r="C1" s="2"/>
      <c r="D1" s="2"/>
    </row>
    <row r="2" spans="1:4" ht="15" customHeight="1" x14ac:dyDescent="0.2">
      <c r="A2" s="1" t="s">
        <v>564</v>
      </c>
      <c r="B2" s="1"/>
      <c r="C2" s="1"/>
      <c r="D2" s="1"/>
    </row>
    <row r="4" spans="1:4" ht="36" customHeight="1" x14ac:dyDescent="0.2">
      <c r="A4" s="4" t="s">
        <v>87</v>
      </c>
      <c r="B4" s="4" t="s">
        <v>565</v>
      </c>
      <c r="C4" s="4" t="s">
        <v>566</v>
      </c>
      <c r="D4" s="4" t="s">
        <v>567</v>
      </c>
    </row>
    <row r="5" spans="1:4" ht="79.5" customHeight="1" x14ac:dyDescent="0.2">
      <c r="A5" s="5" t="s">
        <v>568</v>
      </c>
      <c r="B5" s="5" t="s">
        <v>569</v>
      </c>
      <c r="C5" s="5" t="s">
        <v>570</v>
      </c>
      <c r="D5" s="5" t="s">
        <v>571</v>
      </c>
    </row>
    <row r="6" spans="1:4" ht="79.5" customHeight="1" x14ac:dyDescent="0.2">
      <c r="A6" s="7" t="s">
        <v>572</v>
      </c>
      <c r="B6" s="7" t="s">
        <v>573</v>
      </c>
      <c r="C6" s="7" t="s">
        <v>574</v>
      </c>
      <c r="D6" s="7" t="s">
        <v>575</v>
      </c>
    </row>
    <row r="7" spans="1:4" ht="79.5" customHeight="1" x14ac:dyDescent="0.2">
      <c r="A7" s="5" t="s">
        <v>576</v>
      </c>
      <c r="B7" s="5" t="s">
        <v>577</v>
      </c>
      <c r="C7" s="5" t="s">
        <v>578</v>
      </c>
      <c r="D7" s="5" t="s">
        <v>579</v>
      </c>
    </row>
    <row r="8" spans="1:4" ht="79.5" customHeight="1" x14ac:dyDescent="0.2">
      <c r="A8" s="7" t="s">
        <v>580</v>
      </c>
      <c r="B8" s="7" t="s">
        <v>581</v>
      </c>
      <c r="C8" s="7" t="s">
        <v>582</v>
      </c>
      <c r="D8" s="7" t="s">
        <v>583</v>
      </c>
    </row>
    <row r="9" spans="1:4" ht="79.5" customHeight="1" x14ac:dyDescent="0.2">
      <c r="A9" s="5" t="s">
        <v>409</v>
      </c>
      <c r="B9" s="5" t="s">
        <v>584</v>
      </c>
      <c r="C9" s="5" t="s">
        <v>585</v>
      </c>
      <c r="D9" s="5" t="s">
        <v>586</v>
      </c>
    </row>
    <row r="10" spans="1:4" ht="79.5" customHeight="1" x14ac:dyDescent="0.2">
      <c r="A10" s="7" t="s">
        <v>587</v>
      </c>
      <c r="B10" s="7" t="s">
        <v>588</v>
      </c>
      <c r="C10" s="7" t="s">
        <v>589</v>
      </c>
      <c r="D10" s="7" t="s">
        <v>590</v>
      </c>
    </row>
    <row r="11" spans="1:4" ht="79.5" customHeight="1" x14ac:dyDescent="0.2">
      <c r="A11" s="5" t="s">
        <v>591</v>
      </c>
      <c r="B11" s="5" t="s">
        <v>592</v>
      </c>
      <c r="C11" s="5" t="s">
        <v>593</v>
      </c>
      <c r="D11" s="5" t="s">
        <v>594</v>
      </c>
    </row>
    <row r="12" spans="1:4" ht="79.5" customHeight="1" x14ac:dyDescent="0.2">
      <c r="A12" s="7" t="s">
        <v>595</v>
      </c>
      <c r="B12" s="7" t="s">
        <v>596</v>
      </c>
      <c r="C12" s="7" t="s">
        <v>597</v>
      </c>
      <c r="D12" s="7" t="s">
        <v>598</v>
      </c>
    </row>
    <row r="13" spans="1:4" ht="79.5" customHeight="1" x14ac:dyDescent="0.2">
      <c r="A13" s="5" t="s">
        <v>599</v>
      </c>
      <c r="B13" s="5" t="s">
        <v>600</v>
      </c>
      <c r="C13" s="5" t="s">
        <v>601</v>
      </c>
      <c r="D13" s="5" t="s">
        <v>602</v>
      </c>
    </row>
    <row r="14" spans="1:4" ht="79.5" customHeight="1" x14ac:dyDescent="0.2">
      <c r="A14" s="7" t="s">
        <v>603</v>
      </c>
      <c r="B14" s="7" t="s">
        <v>604</v>
      </c>
      <c r="C14" s="7" t="s">
        <v>605</v>
      </c>
      <c r="D14" s="7" t="s">
        <v>606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7"/>
  <sheetViews>
    <sheetView zoomScaleNormal="100" workbookViewId="0">
      <pane ySplit="4" topLeftCell="A5" activePane="bottomLeft" state="frozen"/>
      <selection pane="bottomLeft" sqref="A1:C1"/>
    </sheetView>
  </sheetViews>
  <sheetFormatPr baseColWidth="10" defaultColWidth="8.6640625" defaultRowHeight="15" x14ac:dyDescent="0.2"/>
  <cols>
    <col min="1" max="1" width="20" customWidth="1"/>
    <col min="2" max="2" width="60" customWidth="1"/>
    <col min="3" max="3" width="80" customWidth="1"/>
  </cols>
  <sheetData>
    <row r="1" spans="1:3" ht="27.75" customHeight="1" x14ac:dyDescent="0.2">
      <c r="A1" s="2" t="s">
        <v>607</v>
      </c>
      <c r="B1" s="2"/>
      <c r="C1" s="2"/>
    </row>
    <row r="2" spans="1:3" ht="23.75" customHeight="1" x14ac:dyDescent="0.2">
      <c r="A2" s="1" t="s">
        <v>608</v>
      </c>
      <c r="B2" s="1"/>
      <c r="C2" s="1"/>
    </row>
    <row r="4" spans="1:3" ht="36" customHeight="1" x14ac:dyDescent="0.2">
      <c r="A4" s="4" t="s">
        <v>163</v>
      </c>
      <c r="B4" s="4" t="s">
        <v>609</v>
      </c>
      <c r="C4" s="4" t="s">
        <v>610</v>
      </c>
    </row>
    <row r="5" spans="1:3" ht="79.5" customHeight="1" x14ac:dyDescent="0.2">
      <c r="A5" s="5" t="s">
        <v>611</v>
      </c>
      <c r="B5" s="5" t="s">
        <v>612</v>
      </c>
      <c r="C5" s="5" t="s">
        <v>613</v>
      </c>
    </row>
    <row r="6" spans="1:3" ht="79.5" customHeight="1" x14ac:dyDescent="0.2">
      <c r="A6" s="7" t="s">
        <v>614</v>
      </c>
      <c r="B6" s="7" t="s">
        <v>615</v>
      </c>
      <c r="C6" s="7" t="s">
        <v>616</v>
      </c>
    </row>
    <row r="7" spans="1:3" ht="79.5" customHeight="1" x14ac:dyDescent="0.2">
      <c r="A7" s="5" t="s">
        <v>617</v>
      </c>
      <c r="B7" s="5" t="s">
        <v>618</v>
      </c>
      <c r="C7" s="5" t="s">
        <v>619</v>
      </c>
    </row>
    <row r="8" spans="1:3" ht="79.5" customHeight="1" x14ac:dyDescent="0.2">
      <c r="A8" s="7" t="s">
        <v>620</v>
      </c>
      <c r="B8" s="7" t="s">
        <v>621</v>
      </c>
      <c r="C8" s="7" t="s">
        <v>622</v>
      </c>
    </row>
    <row r="9" spans="1:3" ht="79.5" customHeight="1" x14ac:dyDescent="0.2">
      <c r="A9" s="5" t="s">
        <v>623</v>
      </c>
      <c r="B9" s="5" t="s">
        <v>624</v>
      </c>
      <c r="C9" s="5" t="s">
        <v>625</v>
      </c>
    </row>
    <row r="10" spans="1:3" ht="79.5" customHeight="1" x14ac:dyDescent="0.2">
      <c r="A10" s="7" t="s">
        <v>626</v>
      </c>
      <c r="B10" s="7" t="s">
        <v>627</v>
      </c>
      <c r="C10" s="7" t="s">
        <v>628</v>
      </c>
    </row>
    <row r="11" spans="1:3" ht="79.5" customHeight="1" x14ac:dyDescent="0.2">
      <c r="A11" s="5" t="s">
        <v>494</v>
      </c>
      <c r="B11" s="5" t="s">
        <v>629</v>
      </c>
      <c r="C11" s="5" t="s">
        <v>630</v>
      </c>
    </row>
    <row r="12" spans="1:3" ht="79.5" customHeight="1" x14ac:dyDescent="0.2">
      <c r="A12" s="7" t="s">
        <v>631</v>
      </c>
      <c r="B12" s="7" t="s">
        <v>632</v>
      </c>
      <c r="C12" s="7" t="s">
        <v>633</v>
      </c>
    </row>
    <row r="13" spans="1:3" ht="79.5" customHeight="1" x14ac:dyDescent="0.2">
      <c r="A13" s="5" t="s">
        <v>634</v>
      </c>
      <c r="B13" s="5" t="s">
        <v>635</v>
      </c>
      <c r="C13" s="5" t="s">
        <v>636</v>
      </c>
    </row>
    <row r="14" spans="1:3" ht="79.5" customHeight="1" x14ac:dyDescent="0.2">
      <c r="A14" s="7" t="s">
        <v>637</v>
      </c>
      <c r="B14" s="7" t="s">
        <v>638</v>
      </c>
      <c r="C14" s="7" t="s">
        <v>639</v>
      </c>
    </row>
    <row r="15" spans="1:3" ht="79.5" customHeight="1" x14ac:dyDescent="0.2">
      <c r="A15" s="5" t="s">
        <v>640</v>
      </c>
      <c r="B15" s="5" t="s">
        <v>641</v>
      </c>
      <c r="C15" s="5" t="s">
        <v>642</v>
      </c>
    </row>
    <row r="16" spans="1:3" ht="79.5" customHeight="1" x14ac:dyDescent="0.2">
      <c r="A16" s="7" t="s">
        <v>643</v>
      </c>
      <c r="B16" s="7" t="s">
        <v>644</v>
      </c>
      <c r="C16" s="7" t="s">
        <v>645</v>
      </c>
    </row>
    <row r="17" spans="1:3" ht="79.5" customHeight="1" x14ac:dyDescent="0.2">
      <c r="A17" s="5" t="s">
        <v>122</v>
      </c>
      <c r="B17" s="5" t="s">
        <v>646</v>
      </c>
      <c r="C17" s="5" t="s">
        <v>647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6"/>
  <sheetViews>
    <sheetView zoomScaleNormal="100" workbookViewId="0">
      <pane ySplit="3" topLeftCell="A19" activePane="bottomLeft" state="frozen"/>
      <selection pane="bottomLeft" sqref="A1:C1"/>
    </sheetView>
  </sheetViews>
  <sheetFormatPr baseColWidth="10" defaultColWidth="8.6640625" defaultRowHeight="15" x14ac:dyDescent="0.2"/>
  <cols>
    <col min="1" max="1" width="18" customWidth="1"/>
    <col min="2" max="2" width="70" customWidth="1"/>
    <col min="3" max="3" width="60" customWidth="1"/>
  </cols>
  <sheetData>
    <row r="1" spans="1:3" ht="27.75" customHeight="1" x14ac:dyDescent="0.2">
      <c r="A1" s="2" t="s">
        <v>648</v>
      </c>
      <c r="B1" s="2"/>
      <c r="C1" s="2"/>
    </row>
    <row r="3" spans="1:3" ht="36" customHeight="1" x14ac:dyDescent="0.2">
      <c r="A3" s="4" t="s">
        <v>162</v>
      </c>
      <c r="B3" s="4" t="s">
        <v>649</v>
      </c>
      <c r="C3" s="4" t="s">
        <v>38</v>
      </c>
    </row>
    <row r="4" spans="1:3" ht="79.5" customHeight="1" x14ac:dyDescent="0.2">
      <c r="A4" s="7" t="s">
        <v>31</v>
      </c>
      <c r="B4" s="7" t="s">
        <v>39</v>
      </c>
      <c r="C4" s="7" t="s">
        <v>46</v>
      </c>
    </row>
    <row r="5" spans="1:3" ht="79.5" customHeight="1" x14ac:dyDescent="0.2">
      <c r="A5" s="5" t="s">
        <v>31</v>
      </c>
      <c r="B5" s="5" t="s">
        <v>650</v>
      </c>
      <c r="C5" s="5" t="s">
        <v>54</v>
      </c>
    </row>
    <row r="6" spans="1:3" ht="79.5" customHeight="1" x14ac:dyDescent="0.2">
      <c r="A6" s="7" t="s">
        <v>31</v>
      </c>
      <c r="B6" s="7" t="s">
        <v>651</v>
      </c>
      <c r="C6" s="7" t="s">
        <v>62</v>
      </c>
    </row>
    <row r="7" spans="1:3" ht="79.5" customHeight="1" x14ac:dyDescent="0.2">
      <c r="A7" s="5" t="s">
        <v>31</v>
      </c>
      <c r="B7" s="5" t="s">
        <v>63</v>
      </c>
      <c r="C7" s="5" t="s">
        <v>70</v>
      </c>
    </row>
    <row r="8" spans="1:3" ht="79.5" customHeight="1" x14ac:dyDescent="0.2">
      <c r="A8" s="7" t="s">
        <v>31</v>
      </c>
      <c r="B8" s="7" t="s">
        <v>652</v>
      </c>
      <c r="C8" s="7" t="s">
        <v>78</v>
      </c>
    </row>
    <row r="9" spans="1:3" ht="79.5" customHeight="1" x14ac:dyDescent="0.2">
      <c r="A9" s="5" t="s">
        <v>653</v>
      </c>
      <c r="B9" s="5" t="s">
        <v>654</v>
      </c>
      <c r="C9" s="5" t="s">
        <v>655</v>
      </c>
    </row>
    <row r="10" spans="1:3" ht="79.5" customHeight="1" x14ac:dyDescent="0.2">
      <c r="A10" s="7" t="s">
        <v>653</v>
      </c>
      <c r="B10" s="7" t="s">
        <v>656</v>
      </c>
      <c r="C10" s="7" t="s">
        <v>657</v>
      </c>
    </row>
    <row r="11" spans="1:3" ht="79.5" customHeight="1" x14ac:dyDescent="0.2">
      <c r="A11" s="5" t="s">
        <v>653</v>
      </c>
      <c r="B11" s="5" t="s">
        <v>658</v>
      </c>
      <c r="C11" s="5" t="s">
        <v>659</v>
      </c>
    </row>
    <row r="12" spans="1:3" ht="79.5" customHeight="1" x14ac:dyDescent="0.2">
      <c r="A12" s="7" t="s">
        <v>653</v>
      </c>
      <c r="B12" s="7" t="s">
        <v>660</v>
      </c>
      <c r="C12" s="7" t="s">
        <v>661</v>
      </c>
    </row>
    <row r="13" spans="1:3" ht="79.5" customHeight="1" x14ac:dyDescent="0.2">
      <c r="A13" s="5" t="s">
        <v>653</v>
      </c>
      <c r="B13" s="5" t="s">
        <v>662</v>
      </c>
      <c r="C13" s="5" t="s">
        <v>663</v>
      </c>
    </row>
    <row r="14" spans="1:3" ht="79.5" customHeight="1" x14ac:dyDescent="0.2">
      <c r="A14" s="7" t="s">
        <v>653</v>
      </c>
      <c r="B14" s="7" t="s">
        <v>664</v>
      </c>
      <c r="C14" s="7" t="s">
        <v>665</v>
      </c>
    </row>
    <row r="15" spans="1:3" ht="79.5" customHeight="1" x14ac:dyDescent="0.2">
      <c r="A15" s="5" t="s">
        <v>653</v>
      </c>
      <c r="B15" s="5" t="s">
        <v>666</v>
      </c>
      <c r="C15" s="5" t="s">
        <v>667</v>
      </c>
    </row>
    <row r="16" spans="1:3" ht="79.5" customHeight="1" x14ac:dyDescent="0.2">
      <c r="A16" s="7" t="s">
        <v>653</v>
      </c>
      <c r="B16" s="7" t="s">
        <v>668</v>
      </c>
      <c r="C16" s="7" t="s">
        <v>669</v>
      </c>
    </row>
    <row r="17" spans="1:3" ht="79.5" customHeight="1" x14ac:dyDescent="0.2">
      <c r="A17" s="5" t="s">
        <v>653</v>
      </c>
      <c r="B17" s="5" t="s">
        <v>670</v>
      </c>
      <c r="C17" s="5" t="s">
        <v>671</v>
      </c>
    </row>
    <row r="18" spans="1:3" ht="79.5" customHeight="1" x14ac:dyDescent="0.2">
      <c r="A18" s="7" t="s">
        <v>653</v>
      </c>
      <c r="B18" s="7" t="s">
        <v>672</v>
      </c>
      <c r="C18" s="7" t="s">
        <v>673</v>
      </c>
    </row>
    <row r="19" spans="1:3" ht="79.5" customHeight="1" x14ac:dyDescent="0.2">
      <c r="A19" s="5" t="s">
        <v>653</v>
      </c>
      <c r="B19" s="5" t="s">
        <v>674</v>
      </c>
      <c r="C19" s="5" t="s">
        <v>675</v>
      </c>
    </row>
    <row r="20" spans="1:3" ht="79.5" customHeight="1" x14ac:dyDescent="0.2">
      <c r="A20" s="7" t="s">
        <v>676</v>
      </c>
      <c r="B20" s="7" t="s">
        <v>677</v>
      </c>
      <c r="C20" s="7" t="s">
        <v>678</v>
      </c>
    </row>
    <row r="21" spans="1:3" ht="79.5" customHeight="1" x14ac:dyDescent="0.2">
      <c r="A21" s="5" t="s">
        <v>676</v>
      </c>
      <c r="B21" s="5" t="s">
        <v>679</v>
      </c>
      <c r="C21" s="5" t="s">
        <v>678</v>
      </c>
    </row>
    <row r="22" spans="1:3" ht="79.5" customHeight="1" x14ac:dyDescent="0.2">
      <c r="A22" s="7" t="s">
        <v>676</v>
      </c>
      <c r="B22" s="7" t="s">
        <v>680</v>
      </c>
      <c r="C22" s="7" t="s">
        <v>681</v>
      </c>
    </row>
    <row r="23" spans="1:3" ht="79.5" customHeight="1" x14ac:dyDescent="0.2">
      <c r="A23" s="5" t="s">
        <v>682</v>
      </c>
      <c r="B23" s="5" t="s">
        <v>683</v>
      </c>
      <c r="C23" s="5" t="s">
        <v>684</v>
      </c>
    </row>
    <row r="24" spans="1:3" ht="79.5" customHeight="1" x14ac:dyDescent="0.2">
      <c r="A24" s="7" t="s">
        <v>682</v>
      </c>
      <c r="B24" s="7" t="s">
        <v>685</v>
      </c>
      <c r="C24" s="7" t="s">
        <v>686</v>
      </c>
    </row>
    <row r="25" spans="1:3" ht="79.5" customHeight="1" x14ac:dyDescent="0.2">
      <c r="A25" s="5" t="s">
        <v>682</v>
      </c>
      <c r="B25" s="5" t="s">
        <v>687</v>
      </c>
      <c r="C25" s="5" t="s">
        <v>688</v>
      </c>
    </row>
    <row r="26" spans="1:3" ht="79.5" customHeight="1" x14ac:dyDescent="0.2">
      <c r="A26" s="7" t="s">
        <v>682</v>
      </c>
      <c r="B26" s="7" t="s">
        <v>689</v>
      </c>
      <c r="C26" s="7" t="s">
        <v>690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1. Sumário</vt:lpstr>
      <vt:lpstr>2. Prêmios</vt:lpstr>
      <vt:lpstr>3. Critérios</vt:lpstr>
      <vt:lpstr>4. Projetos</vt:lpstr>
      <vt:lpstr>5. Features</vt:lpstr>
      <vt:lpstr>6. Stack</vt:lpstr>
      <vt:lpstr>7. Diferenciais</vt:lpstr>
      <vt:lpstr>8. Acessibilidade</vt:lpstr>
      <vt:lpstr>9. Lições p Educação</vt:lpstr>
      <vt:lpstr>10. Referências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GABRIEL FORTES</cp:lastModifiedBy>
  <cp:revision>0</cp:revision>
  <dcterms:created xsi:type="dcterms:W3CDTF">2026-05-06T15:52:26Z</dcterms:created>
  <dcterms:modified xsi:type="dcterms:W3CDTF">2026-05-07T01:29:04Z</dcterms:modified>
  <dc:language>en-US</dc:language>
</cp:coreProperties>
</file>