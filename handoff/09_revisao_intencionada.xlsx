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são Intencionada" sheetId="1" state="visible" r:id="rId3"/>
    <sheet name="Distribuição" sheetId="2" state="visible" r:id="rId4"/>
    <sheet name="Mapa IMRaD" sheetId="3" state="visible" r:id="rId5"/>
    <sheet name="Instruções escrito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<sst xmlns="http://schemas.openxmlformats.org/spreadsheetml/2006/main" count="420" uniqueCount="307">
  <si>
    <t xml:space="preserve">Revisão de literatura intencionada — I-MAIHDA exploratório · SAEB 2023</t>
  </si>
  <si>
    <t xml:space="preserve">25 itens · 9 clássicos (36%) · 10 empíricos (40%) · 6 recentes (24%) · 4 da revista-alvo REE · Fontes principais de reflexão interseccional: Hill Collins e Sueli Carneiro</t>
  </si>
  <si>
    <t xml:space="preserve">#</t>
  </si>
  <si>
    <t xml:space="preserve">Bloco</t>
  </si>
  <si>
    <t xml:space="preserve">Autor(es)</t>
  </si>
  <si>
    <t xml:space="preserve">Ano</t>
  </si>
  <si>
    <t xml:space="preserve">Título</t>
  </si>
  <si>
    <t xml:space="preserve">Periódico/Editora</t>
  </si>
  <si>
    <t xml:space="preserve">Volume/Páginas</t>
  </si>
  <si>
    <t xml:space="preserve">DOI/URL</t>
  </si>
  <si>
    <t xml:space="preserve">Tipo</t>
  </si>
  <si>
    <t xml:space="preserve">Argumento central</t>
  </si>
  <si>
    <t xml:space="preserve">Uso no texto (IMRaD)</t>
  </si>
  <si>
    <t xml:space="preserve">Citação sugerida no corpo</t>
  </si>
  <si>
    <t xml:space="preserve">Referência ABNT</t>
  </si>
  <si>
    <t xml:space="preserve">Clássico</t>
  </si>
  <si>
    <t xml:space="preserve">Crenshaw, K. W.</t>
  </si>
  <si>
    <t xml:space="preserve">Demarginalizing the intersection of race and sex: A Black feminist critique of antidiscrimination doctrine, feminist theory and antiracist politics</t>
  </si>
  <si>
    <t xml:space="preserve">University of Chicago Legal Forum</t>
  </si>
  <si>
    <t xml:space="preserve">1989(1), 139-167</t>
  </si>
  <si>
    <t xml:space="preserve">https://chicagounbound.uchicago.edu/uclf/vol1989/iss1/8/</t>
  </si>
  <si>
    <t xml:space="preserve">Artigo</t>
  </si>
  <si>
    <t xml:space="preserve">Texto fundador. Cunha o conceito de interseccionalidade a partir da crítica ao tratamento jurídico de mulheres negras nos EUA, mostrando como a separação raça/gênero apaga a opressão específica.</t>
  </si>
  <si>
    <t xml:space="preserve">Introdução — fundamenta o problema de pesquisa; estabelece a interseccionalidade como ferramenta crítica antes de virar método estatístico.</t>
  </si>
  <si>
    <t xml:space="preserve">Como Crenshaw (1989) demonstrou, tratar raça e gênero como eixos separados torna invisível a experiência das mulheres negras — crítica que pré-figura nosso problema metodológico ao decompor a interseccionalidade em efeitos aditivos.</t>
  </si>
  <si>
    <t xml:space="preserve">CRENSHAW, Kimberlé W. Demarginalizing the intersection of race and sex: A Black feminist critique of antidiscrimination doctrine, feminist theory and antiracist politics. University of Chicago Legal Forum, v. 1989, n. 1, p. 139-167, 1989.</t>
  </si>
  <si>
    <t xml:space="preserve">Collins, P. H.</t>
  </si>
  <si>
    <t xml:space="preserve">Intersectionality's definitional dilemmas</t>
  </si>
  <si>
    <t xml:space="preserve">Annual Review of Sociology</t>
  </si>
  <si>
    <t xml:space="preserve">41, 1-20</t>
  </si>
  <si>
    <t xml:space="preserve">https://doi.org/10.1146/annurev-soc-073014-112142</t>
  </si>
  <si>
    <t xml:space="preserve">Distingue interseccionalidade como paradigma de pensamento crítico, projeto de conhecimento e praxis política. Mostra que não há definição única — e tensiona usos que reduzem o conceito a uma técnica.</t>
  </si>
  <si>
    <t xml:space="preserve">Introdução + Discussão (Caveat 1) — ancora o tratamento da interseccionalidade como paradigma amplo, do qual o MAIHDA é uma operacionalização parcial; justifica a posição de que PCV alto não esgota a interseccionalidade.</t>
  </si>
  <si>
    <t xml:space="preserve">A interseccionalidade, como Collins (2015) argumenta, é menos um método único do que um paradigma de conhecimento crítico — o que implica que nenhuma técnica isolada, incluindo o MAIHDA, capta o conceito em sua extensão.</t>
  </si>
  <si>
    <t xml:space="preserve">COLLINS, Patricia Hill. Intersectionality's definitional dilemmas. Annual Review of Sociology, v. 41, p. 1-20, 2015.</t>
  </si>
  <si>
    <t xml:space="preserve">On violence, intersectionality and transversal politics</t>
  </si>
  <si>
    <t xml:space="preserve">Ethnic and Racial Studies</t>
  </si>
  <si>
    <t xml:space="preserve">40(9), 1460-1473</t>
  </si>
  <si>
    <t xml:space="preserve">https://doi.org/10.1080/01419870.2017.1317827</t>
  </si>
  <si>
    <t xml:space="preserve">Articula interseccionalidade com sistemas entrelaçados de violência — estrutural, institucional, simbólica. Ponte entre o paradigma interseccional e a leitura da violência escolar/seletiva.</t>
  </si>
  <si>
    <t xml:space="preserve">Discussão (Caveat 2) — sustenta a leitura necropolítica da queda de VPC ao longo das etapas como expressão de violência institucional, não de equalização pedagógica.</t>
  </si>
  <si>
    <t xml:space="preserve">Como Collins (2017) propõe, sistemas interseccionais de poder se sustentam por violências que operam de modo entrelaçado — leitura que ilumina por que a queda do VPC no 3º EM deve ser compreendida como sombra estatística da expulsão diferencial, não como equidade alcançada.</t>
  </si>
  <si>
    <t xml:space="preserve">COLLINS, Patricia Hill. On violence, intersectionality and transversal politics. Ethnic and Racial Studies, v. 40, n. 9, p. 1460-1473, 2017.</t>
  </si>
  <si>
    <t xml:space="preserve">McCall, L.</t>
  </si>
  <si>
    <t xml:space="preserve">The complexity of intersectionality</t>
  </si>
  <si>
    <t xml:space="preserve">Signs: Journal of Women in Culture and Society</t>
  </si>
  <si>
    <t xml:space="preserve">30(3), 1771-1800</t>
  </si>
  <si>
    <t xml:space="preserve">https://doi.org/10.1086/426800</t>
  </si>
  <si>
    <t xml:space="preserve">Tipologia metodológica fundadora: anticategorial (desconstrói categorias), intracategorial (heterogeneidade dentro do grupo) e intercategorial (comparação entre grupos). Posiciona estudos quantitativos como intercategoriais — sem reduzir a interseccionalidade a essa abordagem.</t>
  </si>
  <si>
    <t xml:space="preserve">Métodos + Discussão (Seções 8.5 e 8.6 do brief) — justifica nosso recorte como intercategorial e nomeia os complementos qualitativos/anticategoriais que ficam fora do MAIHDA.</t>
  </si>
  <si>
    <t xml:space="preserve">McCall (2005) localiza o MAIHDA na vertente intercategorial da pesquisa interseccional — útil para mapear desigualdades entre estratos pré-definidos, mas insuficiente para capturar a heterogeneidade intracategorial e a desconstrução anticategorial das próprias fronteiras.</t>
  </si>
  <si>
    <t xml:space="preserve">McCALL, Leslie. The complexity of intersectionality. Signs: Journal of Women in Culture and Society, v. 30, n. 3, p. 1771-1800, 2005.</t>
  </si>
  <si>
    <t xml:space="preserve">Bowleg, L.</t>
  </si>
  <si>
    <t xml:space="preserve">When Black + Lesbian + Woman ≠ Black Lesbian Woman: The methodological challenges of qualitative and quantitative intersectionality research</t>
  </si>
  <si>
    <t xml:space="preserve">Sex Roles</t>
  </si>
  <si>
    <t xml:space="preserve">59(5-6), 312-325</t>
  </si>
  <si>
    <t xml:space="preserve">https://doi.org/10.1007/s11199-008-9400-z</t>
  </si>
  <si>
    <t xml:space="preserve">Formula o paradoxo metodológico clássico: a aditividade estatística entre categorias não captura a especificidade interseccional vivida. Adicionar variáveis em modelo não equivale a estudar interseccionalidade.</t>
  </si>
  <si>
    <t xml:space="preserve">Discussão (Caveat 1) — referência canônica para sustentar que PCV ~95% (aditivo) não nega a interseccionalidade como fenômeno qualitativo.</t>
  </si>
  <si>
    <t xml:space="preserve">O alerta de Bowleg (2008) é central: Black + Lesbian + Woman ≠ Black Lesbian Woman. Que efeitos marginais se componham aditivamente em uma métrica populacional não significa que a vida no ponto de interseção seja uma soma de pertencimentos.</t>
  </si>
  <si>
    <t xml:space="preserve">BOWLEG, Lisa. When Black + Lesbian + Woman ≠ Black Lesbian Woman: The methodological challenges of qualitative and quantitative intersectionality research. Sex Roles, v. 59, n. 5-6, p. 312-325, 2008.</t>
  </si>
  <si>
    <t xml:space="preserve">Carneiro, S.</t>
  </si>
  <si>
    <t xml:space="preserve">Enegrecer o feminismo: a situação da mulher negra na América Latina a partir de uma perspectiva de gênero</t>
  </si>
  <si>
    <t xml:space="preserve">In: WERNECK, J.; MENDONÇA, M.; WHITE, E. C. (Orgs.) Racismos contemporâneos. Rio de Janeiro: Takano</t>
  </si>
  <si>
    <t xml:space="preserve">p. 49-58</t>
  </si>
  <si>
    <t xml:space="preserve">https://www.geledes.org.br/enegrecer-o-feminismo-situacao-da-mulher-negra-na-america-latina-partir-de-uma-perspectiva-de-genero/</t>
  </si>
  <si>
    <t xml:space="preserve">Capítulo</t>
  </si>
  <si>
    <t xml:space="preserve">Funda a crítica negra feminista latino-americana ao feminismo branco e ao movimento negro masculino. Recusa a separação raça/gênero e a focalização monocultural; propõe enegrecer o feminismo como categoria política.</t>
  </si>
  <si>
    <t xml:space="preserve">Introdução + Discussão (Caveat 4) — fonte principal de reflexão interseccional brasileira; sustenta a posição anti-focalismo monocultural e a articulação raça-gênero-classe como horizonte normativo.</t>
  </si>
  <si>
    <t xml:space="preserve">A formulação de Carneiro (2003) — enegrecer o feminismo — recusa tanto a universalização branca quanto a focalização isolada; é nessa chave que lemos nossos achados, articulando reconhecimento das posições estruturais com redistribuição da qualidade educacional.</t>
  </si>
  <si>
    <t xml:space="preserve">CARNEIRO, Sueli. Enegrecer o feminismo: a situação da mulher negra na América Latina a partir de uma perspectiva de gênero. In: WERNECK, Jurema; MENDONÇA, Maisa; WHITE, Evelyn C. (Orgs.). Racismos contemporâneos. Rio de Janeiro: Takano Editora, 2003. p. 49-58.</t>
  </si>
  <si>
    <t xml:space="preserve">Gonzalez, L.</t>
  </si>
  <si>
    <t xml:space="preserve">Racismo e sexismo na cultura brasileira</t>
  </si>
  <si>
    <t xml:space="preserve">Revista Ciências Sociais Hoje (Anpocs)</t>
  </si>
  <si>
    <t xml:space="preserve">p. 223-244</t>
  </si>
  <si>
    <t xml:space="preserve">https://edisciplinas.usp.br/pluginfile.php/4584956/mod_resource/content/1/06%20-%20GONZALES%2C%20L%C3%A9lia%20-%20Racismo_e_Sexismo_na_Cultura_Brasileira%20%281%29.pdf</t>
  </si>
  <si>
    <t xml:space="preserve">Texto fundador do pensamento interseccional brasileiro. Mostra como racismo e sexismo se entrelaçam na produção da mulher negra brasileira — desde a escravidão à divisão racial do trabalho doméstico — e questiona o mito da democracia racial.</t>
  </si>
  <si>
    <t xml:space="preserve">Introdução — situa a especificidade brasileira da interseccionalidade (anterior e paralela à formulação anglofona); fundamenta porque o recorte raça × sexo × classe no SAEB tem peso histórico próprio.</t>
  </si>
  <si>
    <t xml:space="preserve">A análise de Gonzalez (1984) sobre como racismo e sexismo se constroem mutuamente na cultura brasileira já antecipava — três décadas antes da virada interseccional quantitativa — o que precisamos modelar empiricamente: posições estruturais que se sustentam por sistemas entrelaçados, não por adição de variáveis.</t>
  </si>
  <si>
    <t xml:space="preserve">GONZALEZ, Lélia. Racismo e sexismo na cultura brasileira. Revista Ciências Sociais Hoje, Anpocs, p. 223-244, 1984.</t>
  </si>
  <si>
    <t xml:space="preserve">Gillborn, D.; Warmington, P.; Demack, S.</t>
  </si>
  <si>
    <t xml:space="preserve">QuantCrit: Education, policy, 'Big Data' and principles for a critical race theory of statistics</t>
  </si>
  <si>
    <t xml:space="preserve">Race Ethnicity and Education</t>
  </si>
  <si>
    <t xml:space="preserve">21(2), 158-179</t>
  </si>
  <si>
    <t xml:space="preserve">https://doi.org/10.1080/13613324.2017.1377417</t>
  </si>
  <si>
    <t xml:space="preserve">Manifesto fundador do QuantCrit. Estabelece cinco princípios para uso crítico de estatística em pesquisa sobre raça: rejeita neutralidade dos números, problematiza categorias, denuncia uso ideológico de big data, exige reflexividade.</t>
  </si>
  <si>
    <t xml:space="preserve">Métodos + Discussão (Caveat 4) — referência metodológica que orienta a postura reflexiva sobre uso de raça em modelos; sustenta o tratamento das categorias do SAEB (Q04) como construções históricas, não traços biológicos. [Revista-alvo: REE]</t>
  </si>
  <si>
    <t xml:space="preserve">Seguindo os princípios QuantCrit (Gillborn, Warmington &amp; Demack, 2018), tratamos a variável raça/cor autodeclarada do SAEB não como traço fixo, mas como medida historicamente situada de uma fronteira racial em disputa.</t>
  </si>
  <si>
    <t xml:space="preserve">GILLBORN, David; WARMINGTON, Paul; DEMACK, Sean. QuantCrit: Education, policy, 'Big Data' and principles for a critical race theory of statistics. Race Ethnicity and Education, v. 21, n. 2, p. 158-179, 2018.</t>
  </si>
  <si>
    <t xml:space="preserve">Garcia, N. M.; López, N.; Vélez, V. N.</t>
  </si>
  <si>
    <t xml:space="preserve">QuantCrit: rectifying quantitative methods through critical race theory</t>
  </si>
  <si>
    <t xml:space="preserve">21(2), 149-157</t>
  </si>
  <si>
    <t xml:space="preserve">https://doi.org/10.1080/13613324.2017.1377675</t>
  </si>
  <si>
    <t xml:space="preserve">Texto programático do QuantCrit que abre o número especial da REE com Gillborn et al. Argumenta que abordagens quantitativas só podem servir à justiça racial se forem precedidas por um acerto ontológico sobre relações históricas, sociais, políticas e econômicas de poder. Contraparte conceitual do Gillborn et al. 2018.</t>
  </si>
  <si>
    <t xml:space="preserve">Introdução + Métodos — co-fundamento QuantCrit do paper junto com Gillborn et al.; sustenta a postura ontológica sobre raça como construção social e categoria de poder, não variável neutra. [Revista-alvo: REE]</t>
  </si>
  <si>
    <t xml:space="preserve">Como argumentam Garcia, López &amp; Vélez (2018), métodos quantitativos só podem servir a uma agenda de justiça racial se a aplicação for precedida de um acerto ontológico — postura que orienta nosso tratamento de raça/cor não como medida natural, mas como construção historicamente racializada.</t>
  </si>
  <si>
    <t xml:space="preserve">GARCIA, Nichole M.; LÓPEZ, Nancy; VÉLEZ, Verónica N. QuantCrit: rectifying quantitative methods through critical race theory. Race Ethnicity and Education, v. 21, n. 2, p. 149-157, 2018.</t>
  </si>
  <si>
    <t xml:space="preserve">Empírico</t>
  </si>
  <si>
    <t xml:space="preserve">Evans, C. R.; Williams, D. R.; Onnela, J.-P.; Subramanian, S. V.</t>
  </si>
  <si>
    <t xml:space="preserve">A multilevel approach to modeling health inequalities at the intersection of multiple social identities</t>
  </si>
  <si>
    <t xml:space="preserve">Social Science &amp; Medicine</t>
  </si>
  <si>
    <t xml:space="preserve">203, 64-73</t>
  </si>
  <si>
    <t xml:space="preserve">https://doi.org/10.1016/j.socscimed.2017.11.011</t>
  </si>
  <si>
    <t xml:space="preserve">Primeira aplicação canônica do MAIHDA. Demonstra empiricamente a partição de variância entre estratos interseccionais para desfechos de saúde e oferece o template metodológico adotado na literatura subsequente.</t>
  </si>
  <si>
    <t xml:space="preserve">Métodos — precedente empírico fundador do desenho que replicamos para desempenho escolar.</t>
  </si>
  <si>
    <t xml:space="preserve">Adotamos o desenho proposto por Evans, Williams, Onnela &amp; Subramanian (2018) — partição de variância entre estratos interseccionais via modelo multinível — transferindo-o do desfecho saúde para proficiência escolar.</t>
  </si>
  <si>
    <t xml:space="preserve">EVANS, Clare R.; WILLIAMS, David R.; ONNELA, Jukka-Pekka; SUBRAMANIAN, S. V. A multilevel approach to modeling health inequalities at the intersection of multiple social identities. Social Science &amp; Medicine, v. 203, p. 64-73, 2018.</t>
  </si>
  <si>
    <t xml:space="preserve">Merlo, J.</t>
  </si>
  <si>
    <t xml:space="preserve">Multilevel analysis of individual heterogeneity and discriminatory accuracy (MAIHDA) within an intersectional framework</t>
  </si>
  <si>
    <t xml:space="preserve">203, 74-80</t>
  </si>
  <si>
    <t xml:space="preserve">https://doi.org/10.1016/j.socscimed.2017.12.026</t>
  </si>
  <si>
    <t xml:space="preserve">Formalização das três métricas centrais do MAIHDA — VPC, PCV e Discriminatory Accuracy (AUC) — e seus limiares de interpretação substantiva. Texto-referência para qualquer aplicação subsequente.</t>
  </si>
  <si>
    <t xml:space="preserve">Métodos — define as métricas que reportamos (VPC, PCV, AUC) e os limiares de interpretação usados na Tabela 6.</t>
  </si>
  <si>
    <t xml:space="preserve">Os limiares interpretativos de VPC (≥5% substantivo), PCV (&gt;80% aditivo) e AUC (≥0,7 substantivo) seguem Merlo (2018).</t>
  </si>
  <si>
    <t xml:space="preserve">MERLO, Juan. Multilevel analysis of individual heterogeneity and discriminatory accuracy (MAIHDA) within an intersectional framework. Social Science &amp; Medicine, v. 203, p. 74-80, 2018.</t>
  </si>
  <si>
    <t xml:space="preserve">Bell, A.; Holman, D.; Jones, K.</t>
  </si>
  <si>
    <t xml:space="preserve">Using shrinkage in multilevel models to understand intersectionality: A simulation study and a guide for best practice</t>
  </si>
  <si>
    <t xml:space="preserve">Methodology: European Journal of Research Methods for the Behavioral and Social Sciences</t>
  </si>
  <si>
    <t xml:space="preserve">15(2), 88-96</t>
  </si>
  <si>
    <t xml:space="preserve">https://doi.org/10.1027/1614-2241/a000167</t>
  </si>
  <si>
    <t xml:space="preserve">Estudo de simulação sobre comportamento do shrinkage no MAIHDA. Mostra vantagens sobre regressão fixa, mas também os limites: shrinkage menos agressivo do que desejado e efeitos interseccionais espúrios podem aparecer significativos.</t>
  </si>
  <si>
    <t xml:space="preserve">Métodos + Resultados — sustenta a interpretação dos BLUPs (caterpillar plot) e dá moldura de cautela para a leitura de uj significativos em estratos pequenos.</t>
  </si>
  <si>
    <t xml:space="preserve">Conforme alertam Bell, Holman &amp; Jones (2019), a interpretação dos efeitos de estratos via BLUPs exige cautela: o shrinkage estabiliza a estimação, mas não elimina o risco de significância espúria em células com N reduzido.</t>
  </si>
  <si>
    <t xml:space="preserve">BELL, Andrew; HOLMAN, Daniel; JONES, Kelvyn. Using shrinkage in multilevel models to understand intersectionality: A simulation study and a guide for best practice. Methodology: European Journal of Research Methods for the Behavioral and Social Sciences, v. 15, n. 2, p. 88-96, 2019.</t>
  </si>
  <si>
    <t xml:space="preserve">Soares, J. F.; Alves, M. T. G.</t>
  </si>
  <si>
    <t xml:space="preserve">Desigualdades raciais no sistema brasileiro de educação básica</t>
  </si>
  <si>
    <t xml:space="preserve">Educação e Pesquisa</t>
  </si>
  <si>
    <t xml:space="preserve">29(1), 147-165</t>
  </si>
  <si>
    <t xml:space="preserve">https://doi.org/10.1590/S1517-97022003000100011</t>
  </si>
  <si>
    <t xml:space="preserve">Trabalho-referência sobre desigualdade racial no SAEB. Mostra que estudantes negros e pardos têm desempenho sistematicamente inferior ao de brancos em todas as etapas, mesmo controlando por NSE.</t>
  </si>
  <si>
    <t xml:space="preserve">Discussão (Caveat 2) — baseline empírico brasileiro para magnitude da desigualdade racial; permite situar nossos VPCs (5-9%) num histórico de duas décadas de constatação.</t>
  </si>
  <si>
    <t xml:space="preserve">Soares &amp; Alves (2003) já estabeleciam, com dados do SAEB do início dos anos 2000, a magnitude persistente da desigualdade racial no desempenho — referência contra a qual os achados do SAEB 2023 mostram continuidade do padrão.</t>
  </si>
  <si>
    <t xml:space="preserve">SOARES, José Francisco; ALVES, Maria Teresa Gonzaga. Desigualdades raciais no sistema brasileiro de educação básica. Educação e Pesquisa, v. 29, n. 1, p. 147-165, 2003.</t>
  </si>
  <si>
    <t xml:space="preserve">Soares, J. F.; Andrade, R. J.</t>
  </si>
  <si>
    <t xml:space="preserve">Nível socioeconômico, qualidade e equidade das escolas de Belo Horizonte</t>
  </si>
  <si>
    <t xml:space="preserve">Ensaio: Avaliação e Políticas Públicas em Educação</t>
  </si>
  <si>
    <t xml:space="preserve">14(50), 107-126</t>
  </si>
  <si>
    <t xml:space="preserve">https://doi.org/10.1590/S0104-40362006000100008</t>
  </si>
  <si>
    <t xml:space="preserve">Articula NSE, qualidade e equidade das escolas via modelos hierárquicos. Mostra que escolas com piores indicadores absolutos costumam ter também menor equidade interna — fundamental para a leitura da qualidade universal.</t>
  </si>
  <si>
    <t xml:space="preserve">Discussão (Caveat 3) — sustenta a hipótese explicativa para VPC LP &gt; VPC MT no EM; o efeito de piso em MT remete a problemas de qualidade universal não resolvidos.</t>
  </si>
  <si>
    <t xml:space="preserve">A literatura brasileira sobre eficácia escolar (Soares &amp; Andrade, 2006) já mostrava que qualidade e equidade não são propriedades independentes — leitura que se aplica à compressão do desempenho em matemática no EM brasileiro.</t>
  </si>
  <si>
    <t xml:space="preserve">SOARES, José Francisco; ANDRADE, Renato Júdice de. Nível socioeconômico, qualidade e equidade das escolas de Belo Horizonte. Ensaio: Avaliação e Políticas Públicas em Educação, v. 14, n. 50, p. 107-126, 2006.</t>
  </si>
  <si>
    <t xml:space="preserve">Alves, M. T. G.; Ortigão, M. I. R.; Franco, C.</t>
  </si>
  <si>
    <t xml:space="preserve">Origem social e risco de repetência: interação raça-capital econômico</t>
  </si>
  <si>
    <t xml:space="preserve">Cadernos de Pesquisa</t>
  </si>
  <si>
    <t xml:space="preserve">37(130), 161-180</t>
  </si>
  <si>
    <t xml:space="preserve">https://doi.org/10.1590/S0100-15742007000100008</t>
  </si>
  <si>
    <t xml:space="preserve">Documenta interação raça × capital econômico no risco de repetência usando SAEB 2001. Mostra que o efeito da renda sobre risco é diferencial por cor/raça — precedente brasileiro de pensamento interseccional aplicado.</t>
  </si>
  <si>
    <t xml:space="preserve">Discussão (Caveat 2 + RQ5) — referência empírica brasileira para o argumento da seletividade do funil escolar; sustenta a leitura de que repetência opera diferencialmente por estratos interseccionais.</t>
  </si>
  <si>
    <t xml:space="preserve">Alves, Ortigão &amp; Franco (2007) já documentavam, em escala nacional, que o risco de repetência se modula por interação raça-capital econômico — antecedendo a problematização interseccional que aqui formalizamos via MAIHDA.</t>
  </si>
  <si>
    <t xml:space="preserve">ALVES, Maria Teresa Gonzaga; ORTIGÃO, Maria Isabel Ramalho; FRANCO, Creso. Origem social e risco de repetência: interação raça-capital econômico. Cadernos de Pesquisa, v. 37, n. 130, p. 161-180, 2007.</t>
  </si>
  <si>
    <t xml:space="preserve">Carvalho, M. P.</t>
  </si>
  <si>
    <t xml:space="preserve">O fracasso escolar de meninos e meninas: articulações entre gênero e cor/raça</t>
  </si>
  <si>
    <t xml:space="preserve">Cadernos Pagu</t>
  </si>
  <si>
    <t xml:space="preserve">22, 247-290</t>
  </si>
  <si>
    <t xml:space="preserve">https://doi.org/10.1590/S0104-83332004000100010</t>
  </si>
  <si>
    <t xml:space="preserve">Estudo qualitativo sobre como gênero e cor/raça se articulam na produção do fracasso escolar. Mostra que meninos negros são particularmente penalizados na disciplina e desempenho — antecipação empírica do que esperaríamos ver nos estratos extremos.</t>
  </si>
  <si>
    <t xml:space="preserve">Discussão (RQ5 + Caveat 2) — fundamenta a expectativa sobre estratos extremos masculinos pretos/pardos e oferece moldura qualitativa para interpretar os uj.</t>
  </si>
  <si>
    <t xml:space="preserve">A análise qualitativa de Carvalho (2004) sobre como a articulação gênero × cor/raça produz fracasso diferencial ilumina os achados quantitativos dos BLUPs: o que aparece como uj negativo de meninos pretos no MAIHDA tem sua etnografia em sala de aula.</t>
  </si>
  <si>
    <t xml:space="preserve">CARVALHO, Marília Pinto de. O fracasso escolar de meninos e meninas: articulações entre gênero e cor/raça. Cadernos Pagu, n. 22, p. 247-290, 2004.</t>
  </si>
  <si>
    <t xml:space="preserve">Schwartzman, L. F.</t>
  </si>
  <si>
    <t xml:space="preserve">Does money whiten? Intergenerational changes in racial classification in Brazil</t>
  </si>
  <si>
    <t xml:space="preserve">American Sociological Review</t>
  </si>
  <si>
    <t xml:space="preserve">72(6), 940-963</t>
  </si>
  <si>
    <t xml:space="preserve">https://doi.org/10.1177/000312240707200605</t>
  </si>
  <si>
    <t xml:space="preserve">Demonstra empiricamente, com PNAD 2005, que pais nãobrancos mais escolarizados classificam seus filhos como brancos com maior frequência — instabilidade das fronteiras raciais brasileiras como dado, não ruído.</t>
  </si>
  <si>
    <t xml:space="preserve">Discussão (Caveat 1 + Seção 8.6 anticategorial) — fundamenta a crítica anticategorial à variável raça/cor do SAEB; a categoria não é traço fixo, é classificação que se desloca por trajetória social.</t>
  </si>
  <si>
    <t xml:space="preserve">Como Schwartzman (2007) mostra, a fronteira racial brasileira é móvel — embranquecimento por status é fenômeno documentado. A variável raça/cor do SAEB carrega essa instabilidade histórica, o que tem implicações anticategoriais para a leitura dos nossos estratos.</t>
  </si>
  <si>
    <t xml:space="preserve">SCHWARTZMAN, Luisa Farah. Does money whiten? Intergenerational changes in racial classification in Brazil. American Sociological Review, v. 72, n. 6, p. 940-963, 2007.</t>
  </si>
  <si>
    <t xml:space="preserve">Beltrão, K. I.; Alves, J. E. D.</t>
  </si>
  <si>
    <t xml:space="preserve">A reversão do hiato de gênero na educação brasileira no século XX</t>
  </si>
  <si>
    <t xml:space="preserve">39(136), 125-156</t>
  </si>
  <si>
    <t xml:space="preserve">https://doi.org/10.1590/S0100-15742009000100007</t>
  </si>
  <si>
    <t xml:space="preserve">Documenta a reversão do hiato de gênero na educação brasileira — meninas ultrapassam meninos em escolarização nos anos 1980-90. Paradoxo empírico que precisa ser cruzado com raça e classe na leitura interseccional.</t>
  </si>
  <si>
    <t xml:space="preserve">Discussão (RQ5) — sustenta a interpretação dos uj por sexo nos estratos; o efeito do gênero é positivo para meninas na escolaridade média, mas se modula fortemente por raça e classe.</t>
  </si>
  <si>
    <t xml:space="preserve">O paradoxo do gênero na escolarização brasileira (Beltrão &amp; Alves, 2009) — meninas em vantagem agregada — precisa ser lido na chave interseccional: o ganho médio das mulheres não se distribui igualmente por estrato racial e socioeconômico.</t>
  </si>
  <si>
    <t xml:space="preserve">BELTRÃO, Kaizô Iwakami; ALVES, José Eustáquio Diniz. A reversão do hiato de gênero na educação brasileira no século XX. Cadernos de Pesquisa, v. 39, n. 136, p. 125-156, 2009.</t>
  </si>
  <si>
    <t xml:space="preserve">Ernica, M.; Rodrigues, E. C.</t>
  </si>
  <si>
    <t xml:space="preserve">Desigualdades educacionais em metrópoles: território, nível socioeconômico, raça e gênero</t>
  </si>
  <si>
    <t xml:space="preserve">Educação &amp; Sociedade</t>
  </si>
  <si>
    <t xml:space="preserve">41, e228514</t>
  </si>
  <si>
    <t xml:space="preserve">https://doi.org/10.1590/es.228514</t>
  </si>
  <si>
    <t xml:space="preserve">Articula território, NSE, raça e gênero no desempenho de leitura no 5º EF em São Paulo. Mostra padrão persistente: meninas brancas &gt; meninas pardas &gt; meninos brancos &gt; meninos pardos &gt; meninas pretas &gt; meninos pretos.</t>
  </si>
  <si>
    <t xml:space="preserve">Discussão (RQ5 + Caveat 2) — referência empírica brasileira para o ordenamento dos estratos interseccionais; ancora a expectativa do nosso caterpillar plot e a leitura da posição extrema de meninos pretos.</t>
  </si>
  <si>
    <t xml:space="preserve">Ernica &amp; Rodrigues (2020) documentam para São Paulo o padrão de ordenamento interseccional que esperamos reencontrar no caterpillar plot nacional: a posição estrutural mais desvantajada é ocupada por meninos pretos de NSE baixo.</t>
  </si>
  <si>
    <t xml:space="preserve">ERNICA, Maurício; RODRIGUES, Erica Castilho. Desigualdades educacionais em metrópoles: território, nível socioeconômico, raça e gênero. Educação &amp; Sociedade, v. 41, e228514, 2020.</t>
  </si>
  <si>
    <t xml:space="preserve">Recente 2023+</t>
  </si>
  <si>
    <t xml:space="preserve">Evans, C. R.; Leckie, G.; Subramanian, S. V.; Bell, A.; Merlo, J.</t>
  </si>
  <si>
    <t xml:space="preserve">A tutorial for conducting intersectional multilevel analysis of individual heterogeneity and discriminatory accuracy (MAIHDA)</t>
  </si>
  <si>
    <t xml:space="preserve">SSM-Population Health</t>
  </si>
  <si>
    <t xml:space="preserve">26, 101664</t>
  </si>
  <si>
    <t xml:space="preserve">https://doi.org/10.1016/j.ssmph.2024.101664</t>
  </si>
  <si>
    <t xml:space="preserve">Tutorial metodológico canônico atualizado do MAIHDA. Consolida cinco anos de avanços metodológicos, oferece código replicável e protocolo passo-a-passo. Referência primária para qualquer aplicação pós-2024.</t>
  </si>
  <si>
    <t xml:space="preserve">Métodos — referência metodológica primária do paper; nosso desenho replica o protocolo Evans et al. 2024.</t>
  </si>
  <si>
    <t xml:space="preserve">O desenho analítico segue o protocolo formalizado em Evans, Leckie, Subramanian, Bell &amp; Merlo (2024) para condução de I-MAIHDA, ajustado para o contexto brasileiro e o desfecho de proficiência escolar.</t>
  </si>
  <si>
    <t xml:space="preserve">EVANS, Clare R.; LECKIE, George; SUBRAMANIAN, S. V.; BELL, Andrew; MERLO, Juan. A tutorial for conducting intersectional multilevel analysis of individual heterogeneity and discriminatory accuracy (MAIHDA). SSM-Population Health, v. 26, 101664, 2024.</t>
  </si>
  <si>
    <t xml:space="preserve">Castillo, W.; Babb, N.</t>
  </si>
  <si>
    <t xml:space="preserve">Transforming the future of quantitative educational research: A systematic review of enacting QuantCrit</t>
  </si>
  <si>
    <t xml:space="preserve">27(1), 1-21</t>
  </si>
  <si>
    <t xml:space="preserve">https://doi.org/10.1080/13613324.2023.2248911</t>
  </si>
  <si>
    <t xml:space="preserve">Revisão sistemática de 27 estudos QuantCrit em educação (2010-2022). Mapeia padrões emergentes de aplicação do paradigma e propõe caminhos para sua maturação. Publicada na revista-alvo (REE) — sinaliza estado da arte que o paper precisa endereçar.</t>
  </si>
  <si>
    <t xml:space="preserve">Introdução + Métodos — situa nosso paper no campo QuantCrit recente, na própria revista-alvo; documenta o crescimento do uso crítico de métodos quantitativos em pesquisa educacional. [Revista-alvo: REE]</t>
  </si>
  <si>
    <t xml:space="preserve">A revisão sistemática de Castillo &amp; Babb (2024) na própria REE mapeia como o QuantCrit vem sendo enatuado em pesquisa educacional desde 2010 — nosso estudo se localiza nessa onda recente de aplicação rigorosa do paradigma a desfechos escolares.</t>
  </si>
  <si>
    <t xml:space="preserve">CASTILLO, Wendy; BABB, Nancy. Transforming the future of quantitative educational research: A systematic review of enacting QuantCrit. Race Ethnicity and Education, v. 27, n. 1, p. 1-21, 2024.</t>
  </si>
  <si>
    <t xml:space="preserve">Prior, L.; Evans, C. R.; Merlo, J.; Leckie, G.</t>
  </si>
  <si>
    <t xml:space="preserve">Sociodemographic inequalities in student achievement: An intersectional multilevel analysis of individual heterogeneity and discriminatory accuracy (MAIHDA)</t>
  </si>
  <si>
    <t xml:space="preserve">Sociology of Race and Ethnicity</t>
  </si>
  <si>
    <t xml:space="preserve">11(3), 351-369</t>
  </si>
  <si>
    <t xml:space="preserve">https://doi.org/10.1177/23326492241267251</t>
  </si>
  <si>
    <t xml:space="preserve">Aplicação do MAIHDA a desempenho escolar em Londres (duas coortes, 144 estratos). Achados convergentes: variância substancial entre estratos, composição predominantemente aditiva. Paper-irmão internacional do nosso estudo.</t>
  </si>
  <si>
    <t xml:space="preserve">Discussão — comparação direta dos nossos VPCs e PCV com achados londrinos; paper-irmão que valida o padrão aditivo no contexto inglês.</t>
  </si>
  <si>
    <t xml:space="preserve">Os achados de Prior, Evans, Merlo &amp; Leckie (2025) para Londres — VPCs substantivos e PCV majoritariamente aditivo em 144 estratos — convergem com nossos resultados para o Brasil, sugerindo um padrão internacional da composição interseccional do desempenho escolar.</t>
  </si>
  <si>
    <t xml:space="preserve">PRIOR, Lucy; EVANS, Clare R.; MERLO, Juan; LECKIE, George. Sociodemographic inequalities in student achievement: An intersectional multilevel analysis of individual heterogeneity and discriminatory accuracy (MAIHDA). Sociology of Race and Ethnicity, v. 11, n. 3, p. 351-369, 2025.</t>
  </si>
  <si>
    <t xml:space="preserve">Contin, E.; Grilli, L.</t>
  </si>
  <si>
    <t xml:space="preserve">Multilevel Intersectional Analysis to Identify Extreme Profiles in Italian Student Achievement Data</t>
  </si>
  <si>
    <t xml:space="preserve">Social Sciences</t>
  </si>
  <si>
    <t xml:space="preserve">14(11), 672</t>
  </si>
  <si>
    <t xml:space="preserve">https://doi.org/10.3390/socsci14110672</t>
  </si>
  <si>
    <t xml:space="preserve">MAIHDA aplicado a matemática no 5º ano italiano (INVALSI 2022/23). Inova ao adotar modelo cruzado escola × estrato — a variância escolar é ~3/4 da variância interseccional. Identifica perfis extremos de desempenho.</t>
  </si>
  <si>
    <t xml:space="preserve">Discussão (Caveat 3 + Próximos passos) — paper que dialoga diretamente com nosso achado em MT e abre caminho para a próxima extensão: incluir nível escola como camada adicional do MAIHDA.</t>
  </si>
  <si>
    <t xml:space="preserve">O estudo de Contin &amp; Grilli (2025) na Itália mostra que a variância entre escolas pode ser substancial em comparação à variância entre estratos interseccionais — extensão metodológica que aponta direção para nosso próximo modelo (MAIHDA com escola como nível adicional).</t>
  </si>
  <si>
    <t xml:space="preserve">CONTIN, Enrico; GRILLI, Leonardo. Multilevel Intersectional Analysis to Identify Extreme Profiles in Italian Student Achievement Data. Social Sciences, v. 14, n. 11, p. 672, 2025.</t>
  </si>
  <si>
    <t xml:space="preserve">Keller, L.; Lüdtke, O.; Preckel, F.; Brunner, M.</t>
  </si>
  <si>
    <t xml:space="preserve">Educational inequalities at the intersection of multiple social categories: An introduction and systematic review of the multilevel analysis of individual heterogeneity and discriminatory accuracy (MAIHDA) approach</t>
  </si>
  <si>
    <t xml:space="preserve">Educational Psychology Review</t>
  </si>
  <si>
    <t xml:space="preserve">35, art. 31</t>
  </si>
  <si>
    <t xml:space="preserve">https://doi.org/10.1007/s10648-023-09733-5</t>
  </si>
  <si>
    <t xml:space="preserve">Revisão sistemática das aplicações do MAIHDA em pesquisa educacional e introdução do método para o campo da Psicologia da Educação. Aplica em PISA com 40 estratos. Texto-chave de transposição do MAIHDA da saúde para a educação.</t>
  </si>
  <si>
    <t xml:space="preserve">Introdução + Métodos — situa o MAIHDA no campo educacional especificamente; documenta a curva de adoção do método em educação e justifica nossa contribuição ao contexto brasileiro.</t>
  </si>
  <si>
    <t xml:space="preserve">Como Keller, Lüdtke, Preckel &amp; Brunner (2023) documentam em revisão sistemática, o MAIHDA tem sido progressivamente adotado em pesquisa educacional desde 2020 — a presente aplicação ao SAEB 2023 contribui para o repertório com o primeiro estudo conhecido no contexto da educação básica brasileira.</t>
  </si>
  <si>
    <t xml:space="preserve">KELLER, Lena; LÜDTKE, Oliver; PRECKEL, Franzis; BRUNNER, Martin. Educational inequalities at the intersection of multiple social categories: An introduction and systematic review of the multilevel analysis of individual heterogeneity and discriminatory accuracy (MAIHDA) approach. Educational Psychology Review, v. 35, art. 31, 2023.</t>
  </si>
  <si>
    <t xml:space="preserve">Street, C.; Guenther, J.; Smith, J.; Robertson, K.; Ludwig, W.; Motlap, S.; Woodroffe, T.; Ober, R.; Gillan, K.; Larkin, S.</t>
  </si>
  <si>
    <t xml:space="preserve">Do numbers speak for themselves? Exploring the use of quantitative data to measure policy 'success' in historical Indigenous higher education in the Northern Territory, Australia</t>
  </si>
  <si>
    <t xml:space="preserve">25(3), 309-330</t>
  </si>
  <si>
    <t xml:space="preserve">https://doi.org/10.1080/13613324.2021.2019003</t>
  </si>
  <si>
    <t xml:space="preserve">Aplica QuantCrit ao contexto da educação superior indígena na Austrália. Mostra como dados aparentemente neutros sobre 'sucesso' de políticas educacionais para populações racializadas escondem suposições estruturais. Diálogo Sul/Norte global pelo eixo decolonial-indígena.</t>
  </si>
  <si>
    <t xml:space="preserve">Introdução + Discussão — paper-irmão internacional no Sul global (Austrália indígena) sobre como dados quantitativos podem mascarar racismo estrutural; sustenta a reflexividade sobre nossa leitura do SAEB. [Revista-alvo: REE]</t>
  </si>
  <si>
    <t xml:space="preserve">Como argumentam Street, Guenther e colegas (2022) ao analisar políticas indígenas na Austrália, números não falam por si — eles falam dentro de um sistema de poder que define o que conta como 'sucesso'. A leitura crítica que aplicamos aos dados do SAEB compartilha esse posicionamento epistemológico.</t>
  </si>
  <si>
    <t xml:space="preserve">STREET, Catherine; GUENTHER, John; SMITH, James; ROBERTSON, Kim; LUDWIG, Wendy; MOTLAP, Sam; WOODROFFE, Tracy; OBER, Robyn; GILLAN, Kevin; LARKIN, Steven. Do numbers speak for themselves? Exploring the use of quantitative data to measure policy 'success' in historical Indigenous higher education in the Northern Territory, Australia. Race Ethnicity and Education, v. 25, n. 3, p. 309-330, 2022.</t>
  </si>
  <si>
    <t xml:space="preserve">Distribuição da revisão por bloco</t>
  </si>
  <si>
    <t xml:space="preserve">N de itens</t>
  </si>
  <si>
    <t xml:space="preserve">% do total</t>
  </si>
  <si>
    <t xml:space="preserve">Critério da seleção</t>
  </si>
  <si>
    <t xml:space="preserve">Clássicos</t>
  </si>
  <si>
    <t xml:space="preserve">Interseccionalidade (Crenshaw, Collins x2, McCall, Bowleg, Carneiro, Gonzalez) + QuantCrit (Gillborn et al + Garcia López Vélez)</t>
  </si>
  <si>
    <t xml:space="preserve">Empíricos</t>
  </si>
  <si>
    <t xml:space="preserve">MAIHDA-método (3) + desigualdade educacional Brasil (4) + classificação racial/gênero/disciplina (3)</t>
  </si>
  <si>
    <t xml:space="preserve">Recentes (2022+)</t>
  </si>
  <si>
    <t xml:space="preserve">Tutorial MAIHDA (Evans 2024) + revisões QuantCrit em REE (Castillo &amp; Babb) + aplicações MAIHDA educação (Prior, Contin &amp; Grilli, Keller) + QuantCrit indígena Austrália (Street et al, REE)</t>
  </si>
  <si>
    <t xml:space="preserve">Total</t>
  </si>
  <si>
    <t xml:space="preserve">Mapa de uso por seção IMRaD</t>
  </si>
  <si>
    <t xml:space="preserve">Para cada item, marca em quais seções do paper ele deve ser citado. 'X' = uso central; '·' = uso secundário.</t>
  </si>
  <si>
    <t xml:space="preserve">Autor (ano)</t>
  </si>
  <si>
    <t xml:space="preserve">Introdução</t>
  </si>
  <si>
    <t xml:space="preserve">Métodos</t>
  </si>
  <si>
    <t xml:space="preserve">Resultados</t>
  </si>
  <si>
    <t xml:space="preserve">Discussão</t>
  </si>
  <si>
    <t xml:space="preserve">Conclusão</t>
  </si>
  <si>
    <t xml:space="preserve">Crenshaw (1989)</t>
  </si>
  <si>
    <t xml:space="preserve">X</t>
  </si>
  <si>
    <t xml:space="preserve">·</t>
  </si>
  <si>
    <t xml:space="preserve">Collins (2015)</t>
  </si>
  <si>
    <t xml:space="preserve">Collins (2017)</t>
  </si>
  <si>
    <t xml:space="preserve">McCall (2005)</t>
  </si>
  <si>
    <t xml:space="preserve">Bowleg (2008)</t>
  </si>
  <si>
    <t xml:space="preserve">Carneiro (2003)</t>
  </si>
  <si>
    <t xml:space="preserve">Gonzalez (1984)</t>
  </si>
  <si>
    <t xml:space="preserve">Gillborn et al. (2018)</t>
  </si>
  <si>
    <t xml:space="preserve">Garcia et al. (2018)</t>
  </si>
  <si>
    <t xml:space="preserve">Evans et al. (2018)</t>
  </si>
  <si>
    <t xml:space="preserve">Merlo (2018)</t>
  </si>
  <si>
    <t xml:space="preserve">Bell et al. (2019)</t>
  </si>
  <si>
    <t xml:space="preserve">Soares et al. (2003)</t>
  </si>
  <si>
    <t xml:space="preserve">Soares et al. (2006)</t>
  </si>
  <si>
    <t xml:space="preserve">Alves et al. (2007)</t>
  </si>
  <si>
    <t xml:space="preserve">Carvalho (2004)</t>
  </si>
  <si>
    <t xml:space="preserve">Schwartzman (2007)</t>
  </si>
  <si>
    <t xml:space="preserve">Beltrão et al. (2009)</t>
  </si>
  <si>
    <t xml:space="preserve">Ernica et al. (2020)</t>
  </si>
  <si>
    <t xml:space="preserve">Evans et al. (2024)</t>
  </si>
  <si>
    <t xml:space="preserve">Castillo et al. (2024)</t>
  </si>
  <si>
    <t xml:space="preserve">Prior et al. (2025)</t>
  </si>
  <si>
    <t xml:space="preserve">Contin et al. (2025)</t>
  </si>
  <si>
    <t xml:space="preserve">Keller et al. (2023)</t>
  </si>
  <si>
    <t xml:space="preserve">Street et al. (2022)</t>
  </si>
  <si>
    <t xml:space="preserve">Total de menções (X + ·)</t>
  </si>
  <si>
    <t xml:space="preserve">Mapa fidedigno para o agente escritor</t>
  </si>
  <si>
    <t xml:space="preserve">Objetivo</t>
  </si>
  <si>
    <t xml:space="preserve">Este documento é a fonte autoritativa do conjunto de referências a ser citado no paper I-MAIHDA · SAEB 2023, submissão à Race Ethnicity and Education (REE). O agente escritor deve trabalhar EXCLUSIVAMENTE com esses 25 itens — nenhuma referência adicional deve ser introduzida sem aprovação prévia do pesquisador.</t>
  </si>
  <si>
    <t xml:space="preserve">Como usar</t>
  </si>
  <si>
    <t xml:space="preserve">Para cada parágrafo do paper, consulte: (1) a aba 'Mapa IMRaD' para identificar qual item se aplica à seção que está escrevendo; (2) a aba 'Revisão Intencionada' para o argumento central, citação sugerida e referência ABNT do item; (3) reproduza a citação dentro do texto usando a forma sugerida ou adaptação fiel ao argumento original.</t>
  </si>
  <si>
    <t xml:space="preserve">Composição da revisão</t>
  </si>
  <si>
    <t xml:space="preserve">9 clássicos (36%): teóricos fundadores + QuantCrit. 10 empíricos (40%): MAIHDA-método + brasileiros canônicos + classificação racial. 6 recentes (2022+) (24%): estado da arte e revisões sistemáticas.</t>
  </si>
  <si>
    <t xml:space="preserve">Revista-alvo: Race Ethnicity and Education</t>
  </si>
  <si>
    <t xml:space="preserve">4 dos 25 itens são publicados na REE — sinalização editorial forte de alinhamento com a revista: Gillborn, Warmington &amp; Demack (2018, item 8) · Garcia, López &amp; Vélez (2018, item 9) · Castillo &amp; Babb (2024, item 21) · Street, Guenther et al. (2022, item 25). Esses itens devem ter destaque na construção do diálogo com a revista.</t>
  </si>
  <si>
    <t xml:space="preserve">Fontes principais de reflexão interseccional</t>
  </si>
  <si>
    <t xml:space="preserve">Patricia Hill Collins (itens 2 e 3) e Sueli Carneiro (item 6). Toda menção à interseccionalidade como paradigma deve passar por essas duas autoras antes de Crenshaw/McCall/Bowleg.</t>
  </si>
  <si>
    <t xml:space="preserve">Eixo QuantCrit</t>
  </si>
  <si>
    <t xml:space="preserve">QuantCrit é construído pelo par Gillborn, Warmington &amp; Demack (2018, item 8) + Garcia, López &amp; Vélez (2018, item 9), com aplicação contemporânea em Castillo &amp; Babb (2024, item 21) e Street et al. (2022, item 25). Esse eixo é o alinhamento metodológico-político central com a REE.</t>
  </si>
  <si>
    <t xml:space="preserve">Itens deliberadamente FORA</t>
  </si>
  <si>
    <t xml:space="preserve">Não citar: hooks, Lugones, Brah, Hall, Akotirene, Mbembe (citado indiretamente via Collins 2017), Almeida, Fraser, Patto, Bourdieu, Heckman, Tabron &amp; Thomas (RER 2023, substituído por Castillo &amp; Babb da REE), Evans 2019 (substituído por Garcia López Vélez), Observatório da Branquitude (substituído por Street et al). Esses ficam como referência de fundo. Quaisquer inclusões adicionais devem ser validadas pelo pesquisador.</t>
  </si>
  <si>
    <t xml:space="preserve">Verificação obrigatória antes de submissão</t>
  </si>
  <si>
    <t xml:space="preserve">Antes do envio para revisão, conferir: (a) todos os 25 itens têm pelo menos uma menção 'X' no texto final; (b) todas as referências estão no formato ABNT da coluna 'Referência ABNT' (a revista pode pedir APA — converter se necessário); (c) DOIs/URLs estão funcionais; (d) Citações REE estão proeminentes.</t>
  </si>
  <si>
    <t xml:space="preserve">Posicionamento teórico do paper</t>
  </si>
  <si>
    <t xml:space="preserve">(1) Interseccionalidade como paradigma, não método único (Collins 2015). (2) MAIHDA como abordagem intercategorial de McCall (2005) — complementar, não substituta. (3) PCV alto não nega interseccionalidade (Bowleg 2008). (4) Necropolítica escolar como leitura da queda do VPC (Collins 2017 + brasileiros). (5) Anti-essencialismo + universalização da qualidade (Carneiro 2003 + Gillborn et al. 2018 + Garcia, López &amp; Vélez 2018). (6) Diálogo Sul global pelo QuantCrit (Street et al 2022 + nosso estudo Brasil).</t>
  </si>
  <si>
    <t xml:space="preserve">Lista de excluídos com justificativa</t>
  </si>
  <si>
    <t xml:space="preserve">Não foram incluídos por escolha estratégica de enxutamento — boas referências de fundo: hooks (Feminist Theory), Lugones (colonialidade de gênero), Brah (diáspora como posicionalidade), Hall (identidade como articulação), Akotirene (interseccionalidade como encruzilhada), Mbembe (necropolítica), Almeida (racismo estrutural), Fraser (redistribuição × reconhecimento), Patto (produção do fracasso escolar), Bourdieu/Passeron (reprodução), Heckman (selection bias). Podem ser citados pontualmente em nota de rodapé sem entrar nas 25 referências centrais.</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</si>
</sst>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04040"/>
      <name val="Arial"/>
      <family val="0"/>
      <charset val="1"/>
    </font>
    <font>
      <b val="true"/>
      <sz val="11"/>
      <color rgb="FFFFFFFF"/>
      <name val="Arial"/>
      <family val="0"/>
      <charset val="1"/>
    </font>
    <font>
      <b val="true"/>
      <sz val="10"/>
      <name val="Arial"/>
      <family val="0"/>
      <charset val="1"/>
    </font>
    <font>
      <sz val="10"/>
      <name val="Arial"/>
      <family val="0"/>
      <charset val="1"/>
    </font>
    <font>
      <b val="true"/>
      <sz val="11"/>
      <name val="Arial"/>
      <family val="0"/>
      <charset val="1"/>
    </font>
    <font>
      <b val="true"/>
      <sz val="11"/>
      <color rgb="FF1F3864"/>
      <name val="Arial"/>
      <family val="0"/>
      <charset val="1"/>
    </font>
    <font>
      <sz val="11"/>
      <color rgb="FF808080"/>
      <name val="Arial"/>
      <family val="0"/>
      <charset val="1"/>
    </font>
  </fonts>
  <fills count="8">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DDEBF7"/>
        <bgColor rgb="FFE2EFDA"/>
      </patternFill>
    </fill>
    <fill>
      <patternFill patternType="solid">
        <fgColor rgb="FFE2EFDA"/>
        <bgColor rgb="FFDDEBF7"/>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0" fillId="0" borderId="1" xfId="0" applyFont="fals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false" applyProtection="false">
      <alignment horizontal="general" vertical="bottom" textRotation="0" wrapText="false" indent="0" shrinkToFit="false"/>
      <protection locked="true" hidden="false"/>
    </xf>
    <xf numFmtId="165" fontId="9"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99999"/>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2"/>
    <col collapsed="false" customWidth="true" hidden="false" outlineLevel="0" max="4" min="4" style="0" width="7"/>
    <col collapsed="false" customWidth="true" hidden="false" outlineLevel="0" max="5" min="5" style="0" width="36"/>
    <col collapsed="false" customWidth="true" hidden="false" outlineLevel="0" max="6" min="6" style="0" width="28"/>
    <col collapsed="false" customWidth="true" hidden="false" outlineLevel="0" max="7" min="7" style="0" width="16"/>
    <col collapsed="false" customWidth="true" hidden="false" outlineLevel="0" max="8" min="8" style="0" width="28"/>
    <col collapsed="false" customWidth="true" hidden="false" outlineLevel="0" max="9" min="9" style="0" width="11"/>
    <col collapsed="false" customWidth="true" hidden="false" outlineLevel="0" max="10" min="10" style="0" width="40"/>
    <col collapsed="false" customWidth="true" hidden="false" outlineLevel="0" max="11" min="11" style="0" width="36"/>
    <col collapsed="false" customWidth="true" hidden="false" outlineLevel="0" max="13" min="12" style="0" width="40"/>
  </cols>
  <sheetData>
    <row r="1" customFormat="false" ht="27.75" hidden="false" customHeight="true" outlineLevel="0" collapsed="false">
      <c r="A1" s="1" t="s">
        <v>0</v>
      </c>
      <c r="B1" s="1"/>
      <c r="C1" s="1"/>
      <c r="D1" s="1"/>
      <c r="E1" s="1"/>
      <c r="F1" s="1"/>
      <c r="G1" s="1"/>
      <c r="H1" s="1"/>
      <c r="I1" s="1"/>
      <c r="J1" s="1"/>
      <c r="K1" s="1"/>
      <c r="L1" s="1"/>
      <c r="M1" s="1"/>
    </row>
    <row r="2" customFormat="false" ht="19.5" hidden="false" customHeight="true" outlineLevel="0" collapsed="false">
      <c r="A2" s="2" t="s">
        <v>1</v>
      </c>
      <c r="B2" s="2"/>
      <c r="C2" s="2"/>
      <c r="D2" s="2"/>
      <c r="E2" s="2"/>
      <c r="F2" s="2"/>
      <c r="G2" s="2"/>
      <c r="H2" s="2"/>
      <c r="I2" s="2"/>
      <c r="J2" s="2"/>
      <c r="K2" s="2"/>
      <c r="L2" s="2"/>
      <c r="M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row>
    <row r="4" customFormat="false" ht="109.5" hidden="false" customHeight="true" outlineLevel="0" collapsed="false">
      <c r="A4" s="4" t="n">
        <v>1</v>
      </c>
      <c r="B4" s="5" t="s">
        <v>15</v>
      </c>
      <c r="C4" s="5" t="s">
        <v>16</v>
      </c>
      <c r="D4" s="4" t="n">
        <v>1989</v>
      </c>
      <c r="E4" s="5" t="s">
        <v>17</v>
      </c>
      <c r="F4" s="5" t="s">
        <v>18</v>
      </c>
      <c r="G4" s="5" t="s">
        <v>19</v>
      </c>
      <c r="H4" s="5" t="s">
        <v>20</v>
      </c>
      <c r="I4" s="5" t="s">
        <v>21</v>
      </c>
      <c r="J4" s="5" t="s">
        <v>22</v>
      </c>
      <c r="K4" s="5" t="s">
        <v>23</v>
      </c>
      <c r="L4" s="5" t="s">
        <v>24</v>
      </c>
      <c r="M4" s="5" t="s">
        <v>25</v>
      </c>
    </row>
    <row r="5" customFormat="false" ht="109.5" hidden="false" customHeight="true" outlineLevel="0" collapsed="false">
      <c r="A5" s="4" t="n">
        <v>2</v>
      </c>
      <c r="B5" s="5" t="s">
        <v>15</v>
      </c>
      <c r="C5" s="5" t="s">
        <v>26</v>
      </c>
      <c r="D5" s="4" t="n">
        <v>2015</v>
      </c>
      <c r="E5" s="5" t="s">
        <v>27</v>
      </c>
      <c r="F5" s="5" t="s">
        <v>28</v>
      </c>
      <c r="G5" s="5" t="s">
        <v>29</v>
      </c>
      <c r="H5" s="5" t="s">
        <v>30</v>
      </c>
      <c r="I5" s="5" t="s">
        <v>21</v>
      </c>
      <c r="J5" s="5" t="s">
        <v>31</v>
      </c>
      <c r="K5" s="5" t="s">
        <v>32</v>
      </c>
      <c r="L5" s="5" t="s">
        <v>33</v>
      </c>
      <c r="M5" s="5" t="s">
        <v>34</v>
      </c>
    </row>
    <row r="6" customFormat="false" ht="109.5" hidden="false" customHeight="true" outlineLevel="0" collapsed="false">
      <c r="A6" s="4" t="n">
        <v>3</v>
      </c>
      <c r="B6" s="5" t="s">
        <v>15</v>
      </c>
      <c r="C6" s="5" t="s">
        <v>26</v>
      </c>
      <c r="D6" s="4" t="n">
        <v>2017</v>
      </c>
      <c r="E6" s="5" t="s">
        <v>35</v>
      </c>
      <c r="F6" s="5" t="s">
        <v>36</v>
      </c>
      <c r="G6" s="5" t="s">
        <v>37</v>
      </c>
      <c r="H6" s="5" t="s">
        <v>38</v>
      </c>
      <c r="I6" s="5" t="s">
        <v>21</v>
      </c>
      <c r="J6" s="5" t="s">
        <v>39</v>
      </c>
      <c r="K6" s="5" t="s">
        <v>40</v>
      </c>
      <c r="L6" s="5" t="s">
        <v>41</v>
      </c>
      <c r="M6" s="5" t="s">
        <v>42</v>
      </c>
    </row>
    <row r="7" customFormat="false" ht="109.5" hidden="false" customHeight="true" outlineLevel="0" collapsed="false">
      <c r="A7" s="4" t="n">
        <v>4</v>
      </c>
      <c r="B7" s="5" t="s">
        <v>15</v>
      </c>
      <c r="C7" s="5" t="s">
        <v>43</v>
      </c>
      <c r="D7" s="4" t="n">
        <v>2005</v>
      </c>
      <c r="E7" s="5" t="s">
        <v>44</v>
      </c>
      <c r="F7" s="5" t="s">
        <v>45</v>
      </c>
      <c r="G7" s="5" t="s">
        <v>46</v>
      </c>
      <c r="H7" s="5" t="s">
        <v>47</v>
      </c>
      <c r="I7" s="5" t="s">
        <v>21</v>
      </c>
      <c r="J7" s="5" t="s">
        <v>48</v>
      </c>
      <c r="K7" s="5" t="s">
        <v>49</v>
      </c>
      <c r="L7" s="5" t="s">
        <v>50</v>
      </c>
      <c r="M7" s="5" t="s">
        <v>51</v>
      </c>
    </row>
    <row r="8" customFormat="false" ht="109.5" hidden="false" customHeight="true" outlineLevel="0" collapsed="false">
      <c r="A8" s="4" t="n">
        <v>5</v>
      </c>
      <c r="B8" s="5" t="s">
        <v>15</v>
      </c>
      <c r="C8" s="5" t="s">
        <v>52</v>
      </c>
      <c r="D8" s="4" t="n">
        <v>2008</v>
      </c>
      <c r="E8" s="5" t="s">
        <v>53</v>
      </c>
      <c r="F8" s="5" t="s">
        <v>54</v>
      </c>
      <c r="G8" s="5" t="s">
        <v>55</v>
      </c>
      <c r="H8" s="5" t="s">
        <v>56</v>
      </c>
      <c r="I8" s="5" t="s">
        <v>21</v>
      </c>
      <c r="J8" s="5" t="s">
        <v>57</v>
      </c>
      <c r="K8" s="5" t="s">
        <v>58</v>
      </c>
      <c r="L8" s="5" t="s">
        <v>59</v>
      </c>
      <c r="M8" s="5" t="s">
        <v>60</v>
      </c>
    </row>
    <row r="9" customFormat="false" ht="109.5" hidden="false" customHeight="true" outlineLevel="0" collapsed="false">
      <c r="A9" s="4" t="n">
        <v>6</v>
      </c>
      <c r="B9" s="5" t="s">
        <v>15</v>
      </c>
      <c r="C9" s="5" t="s">
        <v>61</v>
      </c>
      <c r="D9" s="4" t="n">
        <v>2003</v>
      </c>
      <c r="E9" s="5" t="s">
        <v>62</v>
      </c>
      <c r="F9" s="5" t="s">
        <v>63</v>
      </c>
      <c r="G9" s="5" t="s">
        <v>64</v>
      </c>
      <c r="H9" s="5" t="s">
        <v>65</v>
      </c>
      <c r="I9" s="5" t="s">
        <v>66</v>
      </c>
      <c r="J9" s="5" t="s">
        <v>67</v>
      </c>
      <c r="K9" s="5" t="s">
        <v>68</v>
      </c>
      <c r="L9" s="5" t="s">
        <v>69</v>
      </c>
      <c r="M9" s="5" t="s">
        <v>70</v>
      </c>
    </row>
    <row r="10" customFormat="false" ht="109.5" hidden="false" customHeight="true" outlineLevel="0" collapsed="false">
      <c r="A10" s="4" t="n">
        <v>7</v>
      </c>
      <c r="B10" s="5" t="s">
        <v>15</v>
      </c>
      <c r="C10" s="5" t="s">
        <v>71</v>
      </c>
      <c r="D10" s="4" t="n">
        <v>1984</v>
      </c>
      <c r="E10" s="5" t="s">
        <v>72</v>
      </c>
      <c r="F10" s="5" t="s">
        <v>73</v>
      </c>
      <c r="G10" s="5" t="s">
        <v>74</v>
      </c>
      <c r="H10" s="5" t="s">
        <v>75</v>
      </c>
      <c r="I10" s="5" t="s">
        <v>21</v>
      </c>
      <c r="J10" s="5" t="s">
        <v>76</v>
      </c>
      <c r="K10" s="5" t="s">
        <v>77</v>
      </c>
      <c r="L10" s="5" t="s">
        <v>78</v>
      </c>
      <c r="M10" s="5" t="s">
        <v>79</v>
      </c>
    </row>
    <row r="11" customFormat="false" ht="109.5" hidden="false" customHeight="true" outlineLevel="0" collapsed="false">
      <c r="A11" s="4" t="n">
        <v>8</v>
      </c>
      <c r="B11" s="5" t="s">
        <v>15</v>
      </c>
      <c r="C11" s="5" t="s">
        <v>80</v>
      </c>
      <c r="D11" s="4" t="n">
        <v>2018</v>
      </c>
      <c r="E11" s="5" t="s">
        <v>81</v>
      </c>
      <c r="F11" s="5" t="s">
        <v>82</v>
      </c>
      <c r="G11" s="5" t="s">
        <v>83</v>
      </c>
      <c r="H11" s="5" t="s">
        <v>84</v>
      </c>
      <c r="I11" s="5" t="s">
        <v>21</v>
      </c>
      <c r="J11" s="5" t="s">
        <v>85</v>
      </c>
      <c r="K11" s="5" t="s">
        <v>86</v>
      </c>
      <c r="L11" s="5" t="s">
        <v>87</v>
      </c>
      <c r="M11" s="5" t="s">
        <v>88</v>
      </c>
    </row>
    <row r="12" customFormat="false" ht="109.5" hidden="false" customHeight="true" outlineLevel="0" collapsed="false">
      <c r="A12" s="4" t="n">
        <v>9</v>
      </c>
      <c r="B12" s="5" t="s">
        <v>15</v>
      </c>
      <c r="C12" s="5" t="s">
        <v>89</v>
      </c>
      <c r="D12" s="4" t="n">
        <v>2018</v>
      </c>
      <c r="E12" s="5" t="s">
        <v>90</v>
      </c>
      <c r="F12" s="5" t="s">
        <v>82</v>
      </c>
      <c r="G12" s="5" t="s">
        <v>91</v>
      </c>
      <c r="H12" s="5" t="s">
        <v>92</v>
      </c>
      <c r="I12" s="5" t="s">
        <v>21</v>
      </c>
      <c r="J12" s="5" t="s">
        <v>93</v>
      </c>
      <c r="K12" s="5" t="s">
        <v>94</v>
      </c>
      <c r="L12" s="5" t="s">
        <v>95</v>
      </c>
      <c r="M12" s="5" t="s">
        <v>96</v>
      </c>
    </row>
    <row r="13" customFormat="false" ht="109.5" hidden="false" customHeight="true" outlineLevel="0" collapsed="false">
      <c r="A13" s="6" t="n">
        <v>10</v>
      </c>
      <c r="B13" s="7" t="s">
        <v>97</v>
      </c>
      <c r="C13" s="7" t="s">
        <v>98</v>
      </c>
      <c r="D13" s="6" t="n">
        <v>2018</v>
      </c>
      <c r="E13" s="7" t="s">
        <v>99</v>
      </c>
      <c r="F13" s="7" t="s">
        <v>100</v>
      </c>
      <c r="G13" s="7" t="s">
        <v>101</v>
      </c>
      <c r="H13" s="7" t="s">
        <v>102</v>
      </c>
      <c r="I13" s="7" t="s">
        <v>21</v>
      </c>
      <c r="J13" s="7" t="s">
        <v>103</v>
      </c>
      <c r="K13" s="7" t="s">
        <v>104</v>
      </c>
      <c r="L13" s="7" t="s">
        <v>105</v>
      </c>
      <c r="M13" s="7" t="s">
        <v>106</v>
      </c>
    </row>
    <row r="14" customFormat="false" ht="109.5" hidden="false" customHeight="true" outlineLevel="0" collapsed="false">
      <c r="A14" s="6" t="n">
        <v>11</v>
      </c>
      <c r="B14" s="7" t="s">
        <v>97</v>
      </c>
      <c r="C14" s="7" t="s">
        <v>107</v>
      </c>
      <c r="D14" s="6" t="n">
        <v>2018</v>
      </c>
      <c r="E14" s="7" t="s">
        <v>108</v>
      </c>
      <c r="F14" s="7" t="s">
        <v>100</v>
      </c>
      <c r="G14" s="7" t="s">
        <v>109</v>
      </c>
      <c r="H14" s="7" t="s">
        <v>110</v>
      </c>
      <c r="I14" s="7" t="s">
        <v>21</v>
      </c>
      <c r="J14" s="7" t="s">
        <v>111</v>
      </c>
      <c r="K14" s="7" t="s">
        <v>112</v>
      </c>
      <c r="L14" s="7" t="s">
        <v>113</v>
      </c>
      <c r="M14" s="7" t="s">
        <v>114</v>
      </c>
    </row>
    <row r="15" customFormat="false" ht="109.5" hidden="false" customHeight="true" outlineLevel="0" collapsed="false">
      <c r="A15" s="6" t="n">
        <v>12</v>
      </c>
      <c r="B15" s="7" t="s">
        <v>97</v>
      </c>
      <c r="C15" s="7" t="s">
        <v>115</v>
      </c>
      <c r="D15" s="6" t="n">
        <v>2019</v>
      </c>
      <c r="E15" s="7" t="s">
        <v>116</v>
      </c>
      <c r="F15" s="7" t="s">
        <v>117</v>
      </c>
      <c r="G15" s="7" t="s">
        <v>118</v>
      </c>
      <c r="H15" s="7" t="s">
        <v>119</v>
      </c>
      <c r="I15" s="7" t="s">
        <v>21</v>
      </c>
      <c r="J15" s="7" t="s">
        <v>120</v>
      </c>
      <c r="K15" s="7" t="s">
        <v>121</v>
      </c>
      <c r="L15" s="7" t="s">
        <v>122</v>
      </c>
      <c r="M15" s="7" t="s">
        <v>123</v>
      </c>
    </row>
    <row r="16" customFormat="false" ht="109.5" hidden="false" customHeight="true" outlineLevel="0" collapsed="false">
      <c r="A16" s="6" t="n">
        <v>13</v>
      </c>
      <c r="B16" s="7" t="s">
        <v>97</v>
      </c>
      <c r="C16" s="7" t="s">
        <v>124</v>
      </c>
      <c r="D16" s="6" t="n">
        <v>2003</v>
      </c>
      <c r="E16" s="7" t="s">
        <v>125</v>
      </c>
      <c r="F16" s="7" t="s">
        <v>126</v>
      </c>
      <c r="G16" s="7" t="s">
        <v>127</v>
      </c>
      <c r="H16" s="7" t="s">
        <v>128</v>
      </c>
      <c r="I16" s="7" t="s">
        <v>21</v>
      </c>
      <c r="J16" s="7" t="s">
        <v>129</v>
      </c>
      <c r="K16" s="7" t="s">
        <v>130</v>
      </c>
      <c r="L16" s="7" t="s">
        <v>131</v>
      </c>
      <c r="M16" s="7" t="s">
        <v>132</v>
      </c>
    </row>
    <row r="17" customFormat="false" ht="109.5" hidden="false" customHeight="true" outlineLevel="0" collapsed="false">
      <c r="A17" s="6" t="n">
        <v>14</v>
      </c>
      <c r="B17" s="7" t="s">
        <v>97</v>
      </c>
      <c r="C17" s="7" t="s">
        <v>133</v>
      </c>
      <c r="D17" s="6" t="n">
        <v>2006</v>
      </c>
      <c r="E17" s="7" t="s">
        <v>134</v>
      </c>
      <c r="F17" s="7" t="s">
        <v>135</v>
      </c>
      <c r="G17" s="7" t="s">
        <v>136</v>
      </c>
      <c r="H17" s="7" t="s">
        <v>137</v>
      </c>
      <c r="I17" s="7" t="s">
        <v>21</v>
      </c>
      <c r="J17" s="7" t="s">
        <v>138</v>
      </c>
      <c r="K17" s="7" t="s">
        <v>139</v>
      </c>
      <c r="L17" s="7" t="s">
        <v>140</v>
      </c>
      <c r="M17" s="7" t="s">
        <v>141</v>
      </c>
    </row>
    <row r="18" customFormat="false" ht="109.5" hidden="false" customHeight="true" outlineLevel="0" collapsed="false">
      <c r="A18" s="6" t="n">
        <v>15</v>
      </c>
      <c r="B18" s="7" t="s">
        <v>97</v>
      </c>
      <c r="C18" s="7" t="s">
        <v>142</v>
      </c>
      <c r="D18" s="6" t="n">
        <v>2007</v>
      </c>
      <c r="E18" s="7" t="s">
        <v>143</v>
      </c>
      <c r="F18" s="7" t="s">
        <v>144</v>
      </c>
      <c r="G18" s="7" t="s">
        <v>145</v>
      </c>
      <c r="H18" s="7" t="s">
        <v>146</v>
      </c>
      <c r="I18" s="7" t="s">
        <v>21</v>
      </c>
      <c r="J18" s="7" t="s">
        <v>147</v>
      </c>
      <c r="K18" s="7" t="s">
        <v>148</v>
      </c>
      <c r="L18" s="7" t="s">
        <v>149</v>
      </c>
      <c r="M18" s="7" t="s">
        <v>150</v>
      </c>
    </row>
    <row r="19" customFormat="false" ht="109.5" hidden="false" customHeight="true" outlineLevel="0" collapsed="false">
      <c r="A19" s="6" t="n">
        <v>16</v>
      </c>
      <c r="B19" s="7" t="s">
        <v>97</v>
      </c>
      <c r="C19" s="7" t="s">
        <v>151</v>
      </c>
      <c r="D19" s="6" t="n">
        <v>2004</v>
      </c>
      <c r="E19" s="7" t="s">
        <v>152</v>
      </c>
      <c r="F19" s="7" t="s">
        <v>153</v>
      </c>
      <c r="G19" s="7" t="s">
        <v>154</v>
      </c>
      <c r="H19" s="7" t="s">
        <v>155</v>
      </c>
      <c r="I19" s="7" t="s">
        <v>21</v>
      </c>
      <c r="J19" s="7" t="s">
        <v>156</v>
      </c>
      <c r="K19" s="7" t="s">
        <v>157</v>
      </c>
      <c r="L19" s="7" t="s">
        <v>158</v>
      </c>
      <c r="M19" s="7" t="s">
        <v>159</v>
      </c>
    </row>
    <row r="20" customFormat="false" ht="109.5" hidden="false" customHeight="true" outlineLevel="0" collapsed="false">
      <c r="A20" s="6" t="n">
        <v>17</v>
      </c>
      <c r="B20" s="7" t="s">
        <v>97</v>
      </c>
      <c r="C20" s="7" t="s">
        <v>160</v>
      </c>
      <c r="D20" s="6" t="n">
        <v>2007</v>
      </c>
      <c r="E20" s="7" t="s">
        <v>161</v>
      </c>
      <c r="F20" s="7" t="s">
        <v>162</v>
      </c>
      <c r="G20" s="7" t="s">
        <v>163</v>
      </c>
      <c r="H20" s="7" t="s">
        <v>164</v>
      </c>
      <c r="I20" s="7" t="s">
        <v>21</v>
      </c>
      <c r="J20" s="7" t="s">
        <v>165</v>
      </c>
      <c r="K20" s="7" t="s">
        <v>166</v>
      </c>
      <c r="L20" s="7" t="s">
        <v>167</v>
      </c>
      <c r="M20" s="7" t="s">
        <v>168</v>
      </c>
    </row>
    <row r="21" customFormat="false" ht="109.5" hidden="false" customHeight="true" outlineLevel="0" collapsed="false">
      <c r="A21" s="6" t="n">
        <v>18</v>
      </c>
      <c r="B21" s="7" t="s">
        <v>97</v>
      </c>
      <c r="C21" s="7" t="s">
        <v>169</v>
      </c>
      <c r="D21" s="6" t="n">
        <v>2009</v>
      </c>
      <c r="E21" s="7" t="s">
        <v>170</v>
      </c>
      <c r="F21" s="7" t="s">
        <v>144</v>
      </c>
      <c r="G21" s="7" t="s">
        <v>171</v>
      </c>
      <c r="H21" s="7" t="s">
        <v>172</v>
      </c>
      <c r="I21" s="7" t="s">
        <v>21</v>
      </c>
      <c r="J21" s="7" t="s">
        <v>173</v>
      </c>
      <c r="K21" s="7" t="s">
        <v>174</v>
      </c>
      <c r="L21" s="7" t="s">
        <v>175</v>
      </c>
      <c r="M21" s="7" t="s">
        <v>176</v>
      </c>
    </row>
    <row r="22" customFormat="false" ht="109.5" hidden="false" customHeight="true" outlineLevel="0" collapsed="false">
      <c r="A22" s="6" t="n">
        <v>19</v>
      </c>
      <c r="B22" s="7" t="s">
        <v>97</v>
      </c>
      <c r="C22" s="7" t="s">
        <v>177</v>
      </c>
      <c r="D22" s="6" t="n">
        <v>2020</v>
      </c>
      <c r="E22" s="7" t="s">
        <v>178</v>
      </c>
      <c r="F22" s="7" t="s">
        <v>179</v>
      </c>
      <c r="G22" s="7" t="s">
        <v>180</v>
      </c>
      <c r="H22" s="7" t="s">
        <v>181</v>
      </c>
      <c r="I22" s="7" t="s">
        <v>21</v>
      </c>
      <c r="J22" s="7" t="s">
        <v>182</v>
      </c>
      <c r="K22" s="7" t="s">
        <v>183</v>
      </c>
      <c r="L22" s="7" t="s">
        <v>184</v>
      </c>
      <c r="M22" s="7" t="s">
        <v>185</v>
      </c>
    </row>
    <row r="23" customFormat="false" ht="109.5" hidden="false" customHeight="true" outlineLevel="0" collapsed="false">
      <c r="A23" s="8" t="n">
        <v>20</v>
      </c>
      <c r="B23" s="9" t="s">
        <v>186</v>
      </c>
      <c r="C23" s="9" t="s">
        <v>187</v>
      </c>
      <c r="D23" s="8" t="n">
        <v>2024</v>
      </c>
      <c r="E23" s="9" t="s">
        <v>188</v>
      </c>
      <c r="F23" s="9" t="s">
        <v>189</v>
      </c>
      <c r="G23" s="9" t="s">
        <v>190</v>
      </c>
      <c r="H23" s="9" t="s">
        <v>191</v>
      </c>
      <c r="I23" s="9" t="s">
        <v>21</v>
      </c>
      <c r="J23" s="9" t="s">
        <v>192</v>
      </c>
      <c r="K23" s="9" t="s">
        <v>193</v>
      </c>
      <c r="L23" s="9" t="s">
        <v>194</v>
      </c>
      <c r="M23" s="9" t="s">
        <v>195</v>
      </c>
    </row>
    <row r="24" customFormat="false" ht="109.5" hidden="false" customHeight="true" outlineLevel="0" collapsed="false">
      <c r="A24" s="8" t="n">
        <v>21</v>
      </c>
      <c r="B24" s="9" t="s">
        <v>186</v>
      </c>
      <c r="C24" s="9" t="s">
        <v>196</v>
      </c>
      <c r="D24" s="8" t="n">
        <v>2024</v>
      </c>
      <c r="E24" s="9" t="s">
        <v>197</v>
      </c>
      <c r="F24" s="9" t="s">
        <v>82</v>
      </c>
      <c r="G24" s="9" t="s">
        <v>198</v>
      </c>
      <c r="H24" s="9" t="s">
        <v>199</v>
      </c>
      <c r="I24" s="9" t="s">
        <v>21</v>
      </c>
      <c r="J24" s="9" t="s">
        <v>200</v>
      </c>
      <c r="K24" s="9" t="s">
        <v>201</v>
      </c>
      <c r="L24" s="9" t="s">
        <v>202</v>
      </c>
      <c r="M24" s="9" t="s">
        <v>203</v>
      </c>
    </row>
    <row r="25" customFormat="false" ht="109.5" hidden="false" customHeight="true" outlineLevel="0" collapsed="false">
      <c r="A25" s="8" t="n">
        <v>22</v>
      </c>
      <c r="B25" s="9" t="s">
        <v>186</v>
      </c>
      <c r="C25" s="9" t="s">
        <v>204</v>
      </c>
      <c r="D25" s="8" t="n">
        <v>2025</v>
      </c>
      <c r="E25" s="9" t="s">
        <v>205</v>
      </c>
      <c r="F25" s="9" t="s">
        <v>206</v>
      </c>
      <c r="G25" s="9" t="s">
        <v>207</v>
      </c>
      <c r="H25" s="9" t="s">
        <v>208</v>
      </c>
      <c r="I25" s="9" t="s">
        <v>21</v>
      </c>
      <c r="J25" s="9" t="s">
        <v>209</v>
      </c>
      <c r="K25" s="9" t="s">
        <v>210</v>
      </c>
      <c r="L25" s="9" t="s">
        <v>211</v>
      </c>
      <c r="M25" s="9" t="s">
        <v>212</v>
      </c>
    </row>
    <row r="26" customFormat="false" ht="109.5" hidden="false" customHeight="true" outlineLevel="0" collapsed="false">
      <c r="A26" s="8" t="n">
        <v>23</v>
      </c>
      <c r="B26" s="9" t="s">
        <v>186</v>
      </c>
      <c r="C26" s="9" t="s">
        <v>213</v>
      </c>
      <c r="D26" s="8" t="n">
        <v>2025</v>
      </c>
      <c r="E26" s="9" t="s">
        <v>214</v>
      </c>
      <c r="F26" s="9" t="s">
        <v>215</v>
      </c>
      <c r="G26" s="9" t="s">
        <v>216</v>
      </c>
      <c r="H26" s="9" t="s">
        <v>217</v>
      </c>
      <c r="I26" s="9" t="s">
        <v>21</v>
      </c>
      <c r="J26" s="9" t="s">
        <v>218</v>
      </c>
      <c r="K26" s="9" t="s">
        <v>219</v>
      </c>
      <c r="L26" s="9" t="s">
        <v>220</v>
      </c>
      <c r="M26" s="9" t="s">
        <v>221</v>
      </c>
    </row>
    <row r="27" customFormat="false" ht="109.5" hidden="false" customHeight="true" outlineLevel="0" collapsed="false">
      <c r="A27" s="8" t="n">
        <v>24</v>
      </c>
      <c r="B27" s="9" t="s">
        <v>186</v>
      </c>
      <c r="C27" s="9" t="s">
        <v>222</v>
      </c>
      <c r="D27" s="8" t="n">
        <v>2023</v>
      </c>
      <c r="E27" s="9" t="s">
        <v>223</v>
      </c>
      <c r="F27" s="9" t="s">
        <v>224</v>
      </c>
      <c r="G27" s="9" t="s">
        <v>225</v>
      </c>
      <c r="H27" s="9" t="s">
        <v>226</v>
      </c>
      <c r="I27" s="9" t="s">
        <v>21</v>
      </c>
      <c r="J27" s="9" t="s">
        <v>227</v>
      </c>
      <c r="K27" s="9" t="s">
        <v>228</v>
      </c>
      <c r="L27" s="9" t="s">
        <v>229</v>
      </c>
      <c r="M27" s="9" t="s">
        <v>230</v>
      </c>
    </row>
    <row r="28" customFormat="false" ht="109.5" hidden="false" customHeight="true" outlineLevel="0" collapsed="false">
      <c r="A28" s="8" t="n">
        <v>25</v>
      </c>
      <c r="B28" s="9" t="s">
        <v>186</v>
      </c>
      <c r="C28" s="9" t="s">
        <v>231</v>
      </c>
      <c r="D28" s="8" t="n">
        <v>2022</v>
      </c>
      <c r="E28" s="9" t="s">
        <v>232</v>
      </c>
      <c r="F28" s="9" t="s">
        <v>82</v>
      </c>
      <c r="G28" s="9" t="s">
        <v>233</v>
      </c>
      <c r="H28" s="9" t="s">
        <v>234</v>
      </c>
      <c r="I28" s="9" t="s">
        <v>21</v>
      </c>
      <c r="J28" s="9" t="s">
        <v>235</v>
      </c>
      <c r="K28" s="9" t="s">
        <v>236</v>
      </c>
      <c r="L28" s="9" t="s">
        <v>237</v>
      </c>
      <c r="M28" s="9" t="s">
        <v>238</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3" min="2" style="0" width="12"/>
    <col collapsed="false" customWidth="true" hidden="false" outlineLevel="0" max="4" min="4" style="0" width="75"/>
  </cols>
  <sheetData>
    <row r="1" customFormat="false" ht="27.75" hidden="false" customHeight="true" outlineLevel="0" collapsed="false">
      <c r="A1" s="1" t="s">
        <v>239</v>
      </c>
      <c r="B1" s="1"/>
      <c r="C1" s="1"/>
      <c r="D1" s="1"/>
    </row>
    <row r="3" customFormat="false" ht="15" hidden="false" customHeight="false" outlineLevel="0" collapsed="false">
      <c r="A3" s="3" t="s">
        <v>3</v>
      </c>
      <c r="B3" s="3" t="s">
        <v>240</v>
      </c>
      <c r="C3" s="3" t="s">
        <v>241</v>
      </c>
      <c r="D3" s="3" t="s">
        <v>242</v>
      </c>
    </row>
    <row r="4" customFormat="false" ht="37.5" hidden="false" customHeight="true" outlineLevel="0" collapsed="false">
      <c r="A4" s="10" t="s">
        <v>243</v>
      </c>
      <c r="B4" s="10" t="n">
        <v>9</v>
      </c>
      <c r="C4" s="11" t="n">
        <f aca="false">B4/B7</f>
        <v>0.36</v>
      </c>
      <c r="D4" s="12" t="s">
        <v>244</v>
      </c>
    </row>
    <row r="5" customFormat="false" ht="37.5" hidden="false" customHeight="true" outlineLevel="0" collapsed="false">
      <c r="A5" s="10" t="s">
        <v>245</v>
      </c>
      <c r="B5" s="10" t="n">
        <v>10</v>
      </c>
      <c r="C5" s="11" t="n">
        <f aca="false">B5/B7</f>
        <v>0.4</v>
      </c>
      <c r="D5" s="12" t="s">
        <v>246</v>
      </c>
    </row>
    <row r="6" customFormat="false" ht="37.5" hidden="false" customHeight="true" outlineLevel="0" collapsed="false">
      <c r="A6" s="10" t="s">
        <v>247</v>
      </c>
      <c r="B6" s="10" t="n">
        <v>6</v>
      </c>
      <c r="C6" s="11" t="n">
        <f aca="false">B6/B7</f>
        <v>0.24</v>
      </c>
      <c r="D6" s="12" t="s">
        <v>248</v>
      </c>
    </row>
    <row r="7" customFormat="false" ht="37.5" hidden="false" customHeight="true" outlineLevel="0" collapsed="false">
      <c r="A7" s="13" t="s">
        <v>249</v>
      </c>
      <c r="B7" s="13" t="n">
        <f aca="false">SUM(B4:B6)</f>
        <v>25</v>
      </c>
      <c r="C7" s="14" t="n">
        <f aca="false">SUM(C4:C6)</f>
        <v>1</v>
      </c>
      <c r="D7" s="15"/>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7" min="3" style="0" width="14"/>
  </cols>
  <sheetData>
    <row r="1" customFormat="false" ht="27.75" hidden="false" customHeight="true" outlineLevel="0" collapsed="false">
      <c r="A1" s="1" t="s">
        <v>250</v>
      </c>
      <c r="B1" s="1"/>
      <c r="C1" s="1"/>
      <c r="D1" s="1"/>
      <c r="E1" s="1"/>
      <c r="F1" s="1"/>
      <c r="G1" s="1"/>
    </row>
    <row r="2" customFormat="false" ht="15" hidden="false" customHeight="true" outlineLevel="0" collapsed="false">
      <c r="A2" s="2" t="s">
        <v>251</v>
      </c>
      <c r="B2" s="2"/>
      <c r="C2" s="2"/>
      <c r="D2" s="2"/>
      <c r="E2" s="2"/>
      <c r="F2" s="2"/>
      <c r="G2" s="2"/>
    </row>
    <row r="3" customFormat="false" ht="27.75" hidden="false" customHeight="true" outlineLevel="0" collapsed="false">
      <c r="A3" s="3" t="s">
        <v>2</v>
      </c>
      <c r="B3" s="3" t="s">
        <v>252</v>
      </c>
      <c r="C3" s="3" t="s">
        <v>253</v>
      </c>
      <c r="D3" s="3" t="s">
        <v>254</v>
      </c>
      <c r="E3" s="3" t="s">
        <v>255</v>
      </c>
      <c r="F3" s="3" t="s">
        <v>256</v>
      </c>
      <c r="G3" s="3" t="s">
        <v>257</v>
      </c>
    </row>
    <row r="4" customFormat="false" ht="15" hidden="false" customHeight="false" outlineLevel="0" collapsed="false">
      <c r="A4" s="4" t="n">
        <v>1</v>
      </c>
      <c r="B4" s="5" t="s">
        <v>258</v>
      </c>
      <c r="C4" s="16" t="s">
        <v>259</v>
      </c>
      <c r="D4" s="17"/>
      <c r="E4" s="17"/>
      <c r="F4" s="17" t="s">
        <v>260</v>
      </c>
      <c r="G4" s="17"/>
    </row>
    <row r="5" customFormat="false" ht="15" hidden="false" customHeight="false" outlineLevel="0" collapsed="false">
      <c r="A5" s="4" t="n">
        <v>2</v>
      </c>
      <c r="B5" s="5" t="s">
        <v>261</v>
      </c>
      <c r="C5" s="16" t="s">
        <v>259</v>
      </c>
      <c r="D5" s="17"/>
      <c r="E5" s="17"/>
      <c r="F5" s="16" t="s">
        <v>259</v>
      </c>
      <c r="G5" s="17" t="s">
        <v>260</v>
      </c>
    </row>
    <row r="6" customFormat="false" ht="15" hidden="false" customHeight="false" outlineLevel="0" collapsed="false">
      <c r="A6" s="4" t="n">
        <v>3</v>
      </c>
      <c r="B6" s="5" t="s">
        <v>262</v>
      </c>
      <c r="C6" s="17"/>
      <c r="D6" s="17"/>
      <c r="E6" s="17"/>
      <c r="F6" s="16" t="s">
        <v>259</v>
      </c>
      <c r="G6" s="17"/>
    </row>
    <row r="7" customFormat="false" ht="15" hidden="false" customHeight="false" outlineLevel="0" collapsed="false">
      <c r="A7" s="4" t="n">
        <v>4</v>
      </c>
      <c r="B7" s="5" t="s">
        <v>263</v>
      </c>
      <c r="C7" s="17" t="s">
        <v>260</v>
      </c>
      <c r="D7" s="16" t="s">
        <v>259</v>
      </c>
      <c r="E7" s="17"/>
      <c r="F7" s="16" t="s">
        <v>259</v>
      </c>
      <c r="G7" s="17"/>
    </row>
    <row r="8" customFormat="false" ht="15" hidden="false" customHeight="false" outlineLevel="0" collapsed="false">
      <c r="A8" s="4" t="n">
        <v>5</v>
      </c>
      <c r="B8" s="5" t="s">
        <v>264</v>
      </c>
      <c r="C8" s="17"/>
      <c r="D8" s="17" t="s">
        <v>260</v>
      </c>
      <c r="E8" s="17"/>
      <c r="F8" s="16" t="s">
        <v>259</v>
      </c>
      <c r="G8" s="17"/>
    </row>
    <row r="9" customFormat="false" ht="15" hidden="false" customHeight="false" outlineLevel="0" collapsed="false">
      <c r="A9" s="4" t="n">
        <v>6</v>
      </c>
      <c r="B9" s="5" t="s">
        <v>265</v>
      </c>
      <c r="C9" s="16" t="s">
        <v>259</v>
      </c>
      <c r="D9" s="17"/>
      <c r="E9" s="17"/>
      <c r="F9" s="16" t="s">
        <v>259</v>
      </c>
      <c r="G9" s="17" t="s">
        <v>260</v>
      </c>
    </row>
    <row r="10" customFormat="false" ht="15" hidden="false" customHeight="false" outlineLevel="0" collapsed="false">
      <c r="A10" s="4" t="n">
        <v>7</v>
      </c>
      <c r="B10" s="5" t="s">
        <v>266</v>
      </c>
      <c r="C10" s="16" t="s">
        <v>259</v>
      </c>
      <c r="D10" s="17"/>
      <c r="E10" s="17"/>
      <c r="F10" s="17" t="s">
        <v>260</v>
      </c>
      <c r="G10" s="17"/>
    </row>
    <row r="11" customFormat="false" ht="15" hidden="false" customHeight="false" outlineLevel="0" collapsed="false">
      <c r="A11" s="4" t="n">
        <v>8</v>
      </c>
      <c r="B11" s="5" t="s">
        <v>267</v>
      </c>
      <c r="C11" s="17" t="s">
        <v>260</v>
      </c>
      <c r="D11" s="16" t="s">
        <v>259</v>
      </c>
      <c r="E11" s="17"/>
      <c r="F11" s="16" t="s">
        <v>259</v>
      </c>
      <c r="G11" s="17"/>
    </row>
    <row r="12" customFormat="false" ht="15" hidden="false" customHeight="false" outlineLevel="0" collapsed="false">
      <c r="A12" s="4" t="n">
        <v>9</v>
      </c>
      <c r="B12" s="5" t="s">
        <v>268</v>
      </c>
      <c r="C12" s="16" t="s">
        <v>259</v>
      </c>
      <c r="D12" s="16" t="s">
        <v>259</v>
      </c>
      <c r="E12" s="17"/>
      <c r="F12" s="16" t="s">
        <v>259</v>
      </c>
      <c r="G12" s="17"/>
    </row>
    <row r="13" customFormat="false" ht="15" hidden="false" customHeight="false" outlineLevel="0" collapsed="false">
      <c r="A13" s="6" t="n">
        <v>10</v>
      </c>
      <c r="B13" s="7" t="s">
        <v>269</v>
      </c>
      <c r="C13" s="18"/>
      <c r="D13" s="19" t="s">
        <v>259</v>
      </c>
      <c r="E13" s="18" t="s">
        <v>260</v>
      </c>
      <c r="F13" s="18" t="s">
        <v>260</v>
      </c>
      <c r="G13" s="18"/>
    </row>
    <row r="14" customFormat="false" ht="15" hidden="false" customHeight="false" outlineLevel="0" collapsed="false">
      <c r="A14" s="6" t="n">
        <v>11</v>
      </c>
      <c r="B14" s="7" t="s">
        <v>270</v>
      </c>
      <c r="C14" s="18"/>
      <c r="D14" s="19" t="s">
        <v>259</v>
      </c>
      <c r="E14" s="19" t="s">
        <v>259</v>
      </c>
      <c r="F14" s="18" t="s">
        <v>260</v>
      </c>
      <c r="G14" s="18"/>
    </row>
    <row r="15" customFormat="false" ht="15" hidden="false" customHeight="false" outlineLevel="0" collapsed="false">
      <c r="A15" s="6" t="n">
        <v>12</v>
      </c>
      <c r="B15" s="7" t="s">
        <v>271</v>
      </c>
      <c r="C15" s="18"/>
      <c r="D15" s="19" t="s">
        <v>259</v>
      </c>
      <c r="E15" s="19" t="s">
        <v>259</v>
      </c>
      <c r="F15" s="18"/>
      <c r="G15" s="18"/>
    </row>
    <row r="16" customFormat="false" ht="15" hidden="false" customHeight="false" outlineLevel="0" collapsed="false">
      <c r="A16" s="6" t="n">
        <v>13</v>
      </c>
      <c r="B16" s="7" t="s">
        <v>272</v>
      </c>
      <c r="C16" s="18" t="s">
        <v>260</v>
      </c>
      <c r="D16" s="18"/>
      <c r="E16" s="18"/>
      <c r="F16" s="19" t="s">
        <v>259</v>
      </c>
      <c r="G16" s="18" t="s">
        <v>260</v>
      </c>
    </row>
    <row r="17" customFormat="false" ht="15" hidden="false" customHeight="false" outlineLevel="0" collapsed="false">
      <c r="A17" s="6" t="n">
        <v>14</v>
      </c>
      <c r="B17" s="7" t="s">
        <v>273</v>
      </c>
      <c r="C17" s="18"/>
      <c r="D17" s="18"/>
      <c r="E17" s="18"/>
      <c r="F17" s="19" t="s">
        <v>259</v>
      </c>
      <c r="G17" s="18"/>
    </row>
    <row r="18" customFormat="false" ht="15" hidden="false" customHeight="false" outlineLevel="0" collapsed="false">
      <c r="A18" s="6" t="n">
        <v>15</v>
      </c>
      <c r="B18" s="7" t="s">
        <v>274</v>
      </c>
      <c r="C18" s="18"/>
      <c r="D18" s="18"/>
      <c r="E18" s="18"/>
      <c r="F18" s="19" t="s">
        <v>259</v>
      </c>
      <c r="G18" s="18"/>
    </row>
    <row r="19" customFormat="false" ht="15" hidden="false" customHeight="false" outlineLevel="0" collapsed="false">
      <c r="A19" s="6" t="n">
        <v>16</v>
      </c>
      <c r="B19" s="7" t="s">
        <v>275</v>
      </c>
      <c r="C19" s="18"/>
      <c r="D19" s="18"/>
      <c r="E19" s="18"/>
      <c r="F19" s="19" t="s">
        <v>259</v>
      </c>
      <c r="G19" s="18"/>
    </row>
    <row r="20" customFormat="false" ht="15" hidden="false" customHeight="false" outlineLevel="0" collapsed="false">
      <c r="A20" s="6" t="n">
        <v>17</v>
      </c>
      <c r="B20" s="7" t="s">
        <v>276</v>
      </c>
      <c r="C20" s="18"/>
      <c r="D20" s="18" t="s">
        <v>260</v>
      </c>
      <c r="E20" s="18"/>
      <c r="F20" s="19" t="s">
        <v>259</v>
      </c>
      <c r="G20" s="18"/>
    </row>
    <row r="21" customFormat="false" ht="15" hidden="false" customHeight="false" outlineLevel="0" collapsed="false">
      <c r="A21" s="6" t="n">
        <v>18</v>
      </c>
      <c r="B21" s="7" t="s">
        <v>277</v>
      </c>
      <c r="C21" s="18"/>
      <c r="D21" s="18"/>
      <c r="E21" s="18" t="s">
        <v>260</v>
      </c>
      <c r="F21" s="19" t="s">
        <v>259</v>
      </c>
      <c r="G21" s="18"/>
    </row>
    <row r="22" customFormat="false" ht="15" hidden="false" customHeight="false" outlineLevel="0" collapsed="false">
      <c r="A22" s="6" t="n">
        <v>19</v>
      </c>
      <c r="B22" s="7" t="s">
        <v>278</v>
      </c>
      <c r="C22" s="18" t="s">
        <v>260</v>
      </c>
      <c r="D22" s="18"/>
      <c r="E22" s="18" t="s">
        <v>260</v>
      </c>
      <c r="F22" s="19" t="s">
        <v>259</v>
      </c>
      <c r="G22" s="18"/>
    </row>
    <row r="23" customFormat="false" ht="15" hidden="false" customHeight="false" outlineLevel="0" collapsed="false">
      <c r="A23" s="8" t="n">
        <v>20</v>
      </c>
      <c r="B23" s="9" t="s">
        <v>279</v>
      </c>
      <c r="C23" s="20" t="s">
        <v>260</v>
      </c>
      <c r="D23" s="21" t="s">
        <v>259</v>
      </c>
      <c r="E23" s="20"/>
      <c r="F23" s="20" t="s">
        <v>260</v>
      </c>
      <c r="G23" s="20"/>
    </row>
    <row r="24" customFormat="false" ht="15" hidden="false" customHeight="false" outlineLevel="0" collapsed="false">
      <c r="A24" s="8" t="n">
        <v>21</v>
      </c>
      <c r="B24" s="9" t="s">
        <v>280</v>
      </c>
      <c r="C24" s="21" t="s">
        <v>259</v>
      </c>
      <c r="D24" s="20" t="s">
        <v>260</v>
      </c>
      <c r="E24" s="20"/>
      <c r="F24" s="20" t="s">
        <v>260</v>
      </c>
      <c r="G24" s="20"/>
    </row>
    <row r="25" customFormat="false" ht="15" hidden="false" customHeight="false" outlineLevel="0" collapsed="false">
      <c r="A25" s="8" t="n">
        <v>22</v>
      </c>
      <c r="B25" s="9" t="s">
        <v>281</v>
      </c>
      <c r="C25" s="20"/>
      <c r="D25" s="20" t="s">
        <v>260</v>
      </c>
      <c r="E25" s="20"/>
      <c r="F25" s="21" t="s">
        <v>259</v>
      </c>
      <c r="G25" s="20" t="s">
        <v>260</v>
      </c>
    </row>
    <row r="26" customFormat="false" ht="15" hidden="false" customHeight="false" outlineLevel="0" collapsed="false">
      <c r="A26" s="8" t="n">
        <v>23</v>
      </c>
      <c r="B26" s="9" t="s">
        <v>282</v>
      </c>
      <c r="C26" s="20"/>
      <c r="D26" s="20" t="s">
        <v>260</v>
      </c>
      <c r="E26" s="20"/>
      <c r="F26" s="21" t="s">
        <v>259</v>
      </c>
      <c r="G26" s="21" t="s">
        <v>259</v>
      </c>
    </row>
    <row r="27" customFormat="false" ht="15" hidden="false" customHeight="false" outlineLevel="0" collapsed="false">
      <c r="A27" s="8" t="n">
        <v>24</v>
      </c>
      <c r="B27" s="9" t="s">
        <v>283</v>
      </c>
      <c r="C27" s="21" t="s">
        <v>259</v>
      </c>
      <c r="D27" s="20" t="s">
        <v>260</v>
      </c>
      <c r="E27" s="20"/>
      <c r="F27" s="20" t="s">
        <v>260</v>
      </c>
      <c r="G27" s="20"/>
    </row>
    <row r="28" customFormat="false" ht="15" hidden="false" customHeight="false" outlineLevel="0" collapsed="false">
      <c r="A28" s="8" t="n">
        <v>25</v>
      </c>
      <c r="B28" s="9" t="s">
        <v>284</v>
      </c>
      <c r="C28" s="21" t="s">
        <v>259</v>
      </c>
      <c r="D28" s="20" t="s">
        <v>260</v>
      </c>
      <c r="E28" s="20"/>
      <c r="F28" s="21" t="s">
        <v>259</v>
      </c>
      <c r="G28" s="20" t="s">
        <v>260</v>
      </c>
    </row>
    <row r="29" customFormat="false" ht="15" hidden="false" customHeight="false" outlineLevel="0" collapsed="false">
      <c r="A29" s="15"/>
      <c r="B29" s="13" t="s">
        <v>285</v>
      </c>
      <c r="C29" s="22" t="n">
        <f aca="false">COUNTIF(C4:C28,"X")+COUNTIF(C4:C28,"·")</f>
        <v>13</v>
      </c>
      <c r="D29" s="22" t="n">
        <f aca="false">COUNTIF(D4:D28,"X")+COUNTIF(D4:D28,"·")</f>
        <v>14</v>
      </c>
      <c r="E29" s="22" t="n">
        <f aca="false">COUNTIF(E4:E28,"X")+COUNTIF(E4:E28,"·")</f>
        <v>5</v>
      </c>
      <c r="F29" s="22" t="n">
        <f aca="false">COUNTIF(F4:F28,"X")+COUNTIF(F4:F28,"·")</f>
        <v>24</v>
      </c>
      <c r="G29" s="22" t="n">
        <f aca="false">COUNTIF(G4:G28,"X")+COUNTIF(G4:G28,"·")</f>
        <v>6</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5"/>
    <col collapsed="false" customWidth="true" hidden="false" outlineLevel="0" max="2" min="2" style="0" width="95"/>
  </cols>
  <sheetData>
    <row r="1" customFormat="false" ht="27.75" hidden="false" customHeight="true" outlineLevel="0" collapsed="false">
      <c r="A1" s="1" t="s">
        <v>286</v>
      </c>
      <c r="B1" s="1"/>
    </row>
    <row r="3" customFormat="false" ht="94.5" hidden="false" customHeight="true" outlineLevel="0" collapsed="false">
      <c r="A3" s="23" t="s">
        <v>287</v>
      </c>
      <c r="B3" s="12" t="s">
        <v>288</v>
      </c>
    </row>
    <row r="4" customFormat="false" ht="94.5" hidden="false" customHeight="true" outlineLevel="0" collapsed="false">
      <c r="A4" s="23" t="s">
        <v>289</v>
      </c>
      <c r="B4" s="12" t="s">
        <v>290</v>
      </c>
    </row>
    <row r="5" customFormat="false" ht="94.5" hidden="false" customHeight="true" outlineLevel="0" collapsed="false">
      <c r="A5" s="23" t="s">
        <v>291</v>
      </c>
      <c r="B5" s="12" t="s">
        <v>292</v>
      </c>
    </row>
    <row r="6" customFormat="false" ht="94.5" hidden="false" customHeight="true" outlineLevel="0" collapsed="false">
      <c r="A6" s="23" t="s">
        <v>293</v>
      </c>
      <c r="B6" s="12" t="s">
        <v>294</v>
      </c>
    </row>
    <row r="7" customFormat="false" ht="94.5" hidden="false" customHeight="true" outlineLevel="0" collapsed="false">
      <c r="A7" s="23" t="s">
        <v>295</v>
      </c>
      <c r="B7" s="12" t="s">
        <v>296</v>
      </c>
    </row>
    <row r="8" customFormat="false" ht="94.5" hidden="false" customHeight="true" outlineLevel="0" collapsed="false">
      <c r="A8" s="23" t="s">
        <v>297</v>
      </c>
      <c r="B8" s="12" t="s">
        <v>298</v>
      </c>
    </row>
    <row r="9" customFormat="false" ht="94.5" hidden="false" customHeight="true" outlineLevel="0" collapsed="false">
      <c r="A9" s="23" t="s">
        <v>299</v>
      </c>
      <c r="B9" s="12" t="s">
        <v>300</v>
      </c>
    </row>
    <row r="10" customFormat="false" ht="94.5" hidden="false" customHeight="true" outlineLevel="0" collapsed="false">
      <c r="A10" s="23" t="s">
        <v>301</v>
      </c>
      <c r="B10" s="12" t="s">
        <v>302</v>
      </c>
    </row>
    <row r="11" customFormat="false" ht="94.5" hidden="false" customHeight="true" outlineLevel="0" collapsed="false">
      <c r="A11" s="23" t="s">
        <v>303</v>
      </c>
      <c r="B11" s="12" t="s">
        <v>304</v>
      </c>
    </row>
    <row r="12" customFormat="false" ht="94.5" hidden="false" customHeight="true" outlineLevel="0" collapsed="false">
      <c r="A12" s="23" t="s">
        <v>305</v>
      </c>
      <c r="B12" s="12" t="s">
        <v>306</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2026-05-23T16:20:31Z</dcterms:created>
  <dc:creator>openpyxl</dc:creator>
  <dc:description/>
  <dc:language>en-US</dc:language>
  <cp:lastModifiedBy/>
  <dcterms:modified xsi:type="dcterms:W3CDTF">2026-05-23T16:20:31Z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